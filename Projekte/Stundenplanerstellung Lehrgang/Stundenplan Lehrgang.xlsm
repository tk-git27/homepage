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D:\_Sortieren\Bundeswehr\Sicherung Wechsel OSTE Glücksburg\Dateien\Dateien\Stundenplan TSSA WO\"/>
    </mc:Choice>
  </mc:AlternateContent>
  <xr:revisionPtr revIDLastSave="0" documentId="13_ncr:1_{541E441E-E6AB-44F3-B453-B60122ACC408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720" tabRatio="637" activeTab="3" xr2:uid="{00000000-000D-0000-FFFF-FFFF00000000}"/>
  </bookViews>
  <sheets>
    <sheet name="Grundeinstellungen" sheetId="1" r:id="rId1"/>
    <sheet name="Lehrgangsinhalte" sheetId="3" r:id="rId2"/>
    <sheet name="Stundenplan" sheetId="4" r:id="rId3"/>
    <sheet name="Ausdruck" sheetId="5" r:id="rId4"/>
    <sheet name="Berechnungen" sheetId="2" state="hidden" r:id="rId5"/>
  </sheets>
  <definedNames>
    <definedName name="_xlnm.Print_Area" localSheetId="3">Ausdruck!$A$1:$I$15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2" i="1"/>
  <c r="D5" i="5" l="1"/>
  <c r="C5" i="5"/>
  <c r="C4" i="5" l="1"/>
  <c r="D4" i="5"/>
  <c r="E5" i="5"/>
  <c r="E4" i="5" l="1"/>
  <c r="F5" i="5"/>
  <c r="E2" i="5"/>
  <c r="F4" i="5" l="1"/>
  <c r="G5" i="5"/>
  <c r="G4" i="5" l="1"/>
  <c r="H5" i="5"/>
  <c r="H4" i="5" l="1"/>
  <c r="I5" i="5"/>
  <c r="I4" i="5" l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Y1" i="4" s="1"/>
  <c r="AZ1" i="4" s="1"/>
  <c r="BA1" i="4" s="1"/>
  <c r="BB1" i="4" s="1"/>
  <c r="BC1" i="4" s="1"/>
  <c r="BD1" i="4" s="1"/>
  <c r="BE1" i="4" s="1"/>
  <c r="BF1" i="4" s="1"/>
  <c r="BG1" i="4" s="1"/>
  <c r="BH1" i="4" s="1"/>
  <c r="BI1" i="4" s="1"/>
  <c r="BJ1" i="4" s="1"/>
  <c r="BK1" i="4" s="1"/>
  <c r="BL1" i="4" s="1"/>
  <c r="BM1" i="4" s="1"/>
  <c r="BN1" i="4" s="1"/>
  <c r="BO1" i="4" s="1"/>
  <c r="BP1" i="4" s="1"/>
  <c r="BQ1" i="4" s="1"/>
  <c r="BR1" i="4" s="1"/>
  <c r="BS1" i="4" s="1"/>
  <c r="BT1" i="4" s="1"/>
  <c r="BU1" i="4" s="1"/>
  <c r="BV1" i="4" s="1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DN1" i="4" s="1"/>
  <c r="DO1" i="4" s="1"/>
  <c r="DP1" i="4" s="1"/>
  <c r="DQ1" i="4" s="1"/>
  <c r="DR1" i="4" s="1"/>
  <c r="DS1" i="4" s="1"/>
  <c r="DT1" i="4" s="1"/>
  <c r="DU1" i="4" s="1"/>
  <c r="DV1" i="4" s="1"/>
  <c r="DW1" i="4" s="1"/>
  <c r="DX1" i="4" s="1"/>
  <c r="DY1" i="4" s="1"/>
  <c r="DZ1" i="4" s="1"/>
  <c r="EA1" i="4" s="1"/>
  <c r="EB1" i="4" s="1"/>
  <c r="EC1" i="4" s="1"/>
  <c r="ED1" i="4" s="1"/>
  <c r="EE1" i="4" s="1"/>
  <c r="EF1" i="4" s="1"/>
  <c r="EG1" i="4" s="1"/>
  <c r="EH1" i="4" s="1"/>
  <c r="EI1" i="4" s="1"/>
  <c r="EJ1" i="4" s="1"/>
  <c r="EK1" i="4" s="1"/>
  <c r="EL1" i="4" s="1"/>
  <c r="EM1" i="4" s="1"/>
  <c r="EN1" i="4" s="1"/>
  <c r="EO1" i="4" s="1"/>
  <c r="EP1" i="4" s="1"/>
  <c r="EQ1" i="4" s="1"/>
  <c r="ER1" i="4" s="1"/>
  <c r="ES1" i="4" s="1"/>
  <c r="ET1" i="4" s="1"/>
  <c r="EU1" i="4" s="1"/>
  <c r="EV1" i="4" s="1"/>
  <c r="EW1" i="4" s="1"/>
  <c r="EX1" i="4" s="1"/>
  <c r="EY1" i="4" s="1"/>
  <c r="EZ1" i="4" s="1"/>
  <c r="FA1" i="4" s="1"/>
  <c r="FB1" i="4" s="1"/>
  <c r="FC1" i="4" s="1"/>
  <c r="FD1" i="4" s="1"/>
  <c r="FE1" i="4" s="1"/>
  <c r="FF1" i="4" s="1"/>
  <c r="FG1" i="4" s="1"/>
  <c r="FH1" i="4" s="1"/>
  <c r="FI1" i="4" s="1"/>
  <c r="FJ1" i="4" s="1"/>
  <c r="FK1" i="4" s="1"/>
  <c r="FL1" i="4" s="1"/>
  <c r="FM1" i="4" s="1"/>
  <c r="FN1" i="4" s="1"/>
  <c r="FO1" i="4" s="1"/>
  <c r="FP1" i="4" s="1"/>
  <c r="FQ1" i="4" s="1"/>
  <c r="FR1" i="4" s="1"/>
  <c r="FS1" i="4" s="1"/>
  <c r="FT1" i="4" s="1"/>
  <c r="FU1" i="4" s="1"/>
  <c r="FV1" i="4" s="1"/>
  <c r="FW1" i="4" s="1"/>
  <c r="FX1" i="4" s="1"/>
  <c r="FY1" i="4" s="1"/>
  <c r="FZ1" i="4" s="1"/>
  <c r="GA1" i="4" s="1"/>
  <c r="GB1" i="4" s="1"/>
  <c r="GC1" i="4" s="1"/>
  <c r="GD1" i="4" s="1"/>
  <c r="GE1" i="4" s="1"/>
  <c r="GF1" i="4" s="1"/>
  <c r="GG1" i="4" s="1"/>
  <c r="GH1" i="4" s="1"/>
  <c r="GI1" i="4" s="1"/>
  <c r="GJ1" i="4" s="1"/>
  <c r="GK1" i="4" s="1"/>
  <c r="GL1" i="4" s="1"/>
  <c r="GM1" i="4" s="1"/>
  <c r="GN1" i="4" s="1"/>
  <c r="GO1" i="4" s="1"/>
  <c r="GP1" i="4" s="1"/>
  <c r="GQ1" i="4" s="1"/>
  <c r="GR1" i="4" s="1"/>
  <c r="GS1" i="4" s="1"/>
  <c r="GT1" i="4" s="1"/>
  <c r="GU1" i="4" s="1"/>
  <c r="GV1" i="4" s="1"/>
  <c r="GW1" i="4" s="1"/>
  <c r="GX1" i="4" s="1"/>
  <c r="GY1" i="4" s="1"/>
  <c r="GZ1" i="4" s="1"/>
  <c r="HA1" i="4" s="1"/>
  <c r="HB1" i="4" s="1"/>
  <c r="HC1" i="4" s="1"/>
  <c r="HD1" i="4" s="1"/>
  <c r="HE1" i="4" s="1"/>
  <c r="HF1" i="4" s="1"/>
  <c r="HG1" i="4" s="1"/>
  <c r="HH1" i="4" s="1"/>
  <c r="HI1" i="4" s="1"/>
  <c r="HJ1" i="4" s="1"/>
  <c r="HK1" i="4" s="1"/>
  <c r="HL1" i="4" s="1"/>
  <c r="HM1" i="4" s="1"/>
  <c r="HN1" i="4" s="1"/>
  <c r="HO1" i="4" s="1"/>
  <c r="HP1" i="4" s="1"/>
  <c r="HQ1" i="4" s="1"/>
  <c r="HR1" i="4" s="1"/>
  <c r="HS1" i="4" s="1"/>
  <c r="HT1" i="4" s="1"/>
  <c r="HU1" i="4" s="1"/>
  <c r="HV1" i="4" s="1"/>
  <c r="HW1" i="4" s="1"/>
  <c r="HX1" i="4" s="1"/>
  <c r="HY1" i="4" s="1"/>
  <c r="HZ1" i="4" s="1"/>
  <c r="IA1" i="4" s="1"/>
  <c r="IB1" i="4" s="1"/>
  <c r="IC1" i="4" s="1"/>
  <c r="ID1" i="4" s="1"/>
  <c r="IE1" i="4" s="1"/>
  <c r="IF1" i="4" s="1"/>
  <c r="IG1" i="4" s="1"/>
  <c r="IH1" i="4" s="1"/>
  <c r="II1" i="4" s="1"/>
  <c r="IJ1" i="4" s="1"/>
  <c r="IK1" i="4" s="1"/>
  <c r="IL1" i="4" s="1"/>
  <c r="IM1" i="4" s="1"/>
  <c r="IN1" i="4" s="1"/>
  <c r="IO1" i="4" s="1"/>
  <c r="IP1" i="4" s="1"/>
  <c r="IQ1" i="4" s="1"/>
  <c r="IR1" i="4" s="1"/>
  <c r="IS1" i="4" s="1"/>
  <c r="IT1" i="4" s="1"/>
  <c r="IU1" i="4" s="1"/>
  <c r="IV1" i="4" s="1"/>
  <c r="IW1" i="4" s="1"/>
  <c r="IX1" i="4" s="1"/>
  <c r="IY1" i="4" s="1"/>
  <c r="IZ1" i="4" s="1"/>
  <c r="JA1" i="4" s="1"/>
  <c r="JB1" i="4" s="1"/>
  <c r="JC1" i="4" s="1"/>
  <c r="JD1" i="4" s="1"/>
  <c r="JE1" i="4" s="1"/>
  <c r="JF1" i="4" s="1"/>
  <c r="JG1" i="4" s="1"/>
  <c r="JH1" i="4" s="1"/>
  <c r="JI1" i="4" s="1"/>
  <c r="JJ1" i="4" s="1"/>
  <c r="JK1" i="4" s="1"/>
  <c r="JL1" i="4" s="1"/>
  <c r="JM1" i="4" s="1"/>
  <c r="JN1" i="4" s="1"/>
  <c r="JO1" i="4" s="1"/>
  <c r="JP1" i="4" s="1"/>
  <c r="JQ1" i="4" s="1"/>
  <c r="JR1" i="4" s="1"/>
  <c r="JS1" i="4" s="1"/>
  <c r="JT1" i="4" s="1"/>
  <c r="JU1" i="4" s="1"/>
  <c r="JV1" i="4" s="1"/>
  <c r="JW1" i="4" s="1"/>
  <c r="JX1" i="4" s="1"/>
  <c r="JY1" i="4" s="1"/>
  <c r="JZ1" i="4" s="1"/>
  <c r="KA1" i="4" s="1"/>
  <c r="KB1" i="4" s="1"/>
  <c r="KC1" i="4" s="1"/>
  <c r="KD1" i="4" s="1"/>
  <c r="KE1" i="4" s="1"/>
  <c r="KF1" i="4" s="1"/>
  <c r="KG1" i="4" s="1"/>
  <c r="KH1" i="4" s="1"/>
  <c r="KI1" i="4" s="1"/>
  <c r="KJ1" i="4" s="1"/>
  <c r="KK1" i="4" s="1"/>
  <c r="KL1" i="4" s="1"/>
  <c r="KM1" i="4" s="1"/>
  <c r="KN1" i="4" s="1"/>
  <c r="KO1" i="4" s="1"/>
  <c r="KP1" i="4" s="1"/>
  <c r="KQ1" i="4" s="1"/>
  <c r="KR1" i="4" s="1"/>
  <c r="KS1" i="4" s="1"/>
  <c r="KT1" i="4" s="1"/>
  <c r="KU1" i="4" s="1"/>
  <c r="KV1" i="4" s="1"/>
  <c r="KW1" i="4" s="1"/>
  <c r="KX1" i="4" s="1"/>
  <c r="KY1" i="4" s="1"/>
  <c r="KZ1" i="4" s="1"/>
  <c r="LA1" i="4" s="1"/>
  <c r="LB1" i="4" s="1"/>
  <c r="LC1" i="4" s="1"/>
  <c r="LD1" i="4" s="1"/>
  <c r="LE1" i="4" s="1"/>
  <c r="LF1" i="4" s="1"/>
  <c r="LG1" i="4" s="1"/>
  <c r="LH1" i="4" s="1"/>
  <c r="LI1" i="4" s="1"/>
  <c r="LJ1" i="4" s="1"/>
  <c r="LK1" i="4" s="1"/>
  <c r="LL1" i="4" s="1"/>
  <c r="LM1" i="4" s="1"/>
  <c r="LN1" i="4" s="1"/>
  <c r="LO1" i="4" s="1"/>
  <c r="LP1" i="4" s="1"/>
  <c r="LQ1" i="4" s="1"/>
  <c r="LR1" i="4" s="1"/>
  <c r="LS1" i="4" s="1"/>
  <c r="LT1" i="4" s="1"/>
  <c r="LU1" i="4" s="1"/>
  <c r="LV1" i="4" s="1"/>
  <c r="LW1" i="4" s="1"/>
  <c r="LX1" i="4" s="1"/>
  <c r="LY1" i="4" s="1"/>
  <c r="LZ1" i="4" s="1"/>
  <c r="MA1" i="4" s="1"/>
  <c r="MB1" i="4" s="1"/>
  <c r="MC1" i="4" s="1"/>
  <c r="MD1" i="4" s="1"/>
  <c r="ME1" i="4" s="1"/>
  <c r="MF1" i="4" s="1"/>
  <c r="MG1" i="4" s="1"/>
  <c r="MH1" i="4" s="1"/>
  <c r="MI1" i="4" s="1"/>
  <c r="MJ1" i="4" s="1"/>
  <c r="MK1" i="4" s="1"/>
  <c r="ML1" i="4" s="1"/>
  <c r="MM1" i="4" s="1"/>
  <c r="MN1" i="4" s="1"/>
  <c r="MO1" i="4" s="1"/>
  <c r="MP1" i="4" s="1"/>
  <c r="MQ1" i="4" s="1"/>
  <c r="MR1" i="4" s="1"/>
  <c r="MS1" i="4" s="1"/>
  <c r="MT1" i="4" s="1"/>
  <c r="MU1" i="4" s="1"/>
  <c r="MV1" i="4" s="1"/>
  <c r="MW1" i="4" s="1"/>
  <c r="MX1" i="4" s="1"/>
  <c r="MY1" i="4" s="1"/>
  <c r="MZ1" i="4" s="1"/>
  <c r="NA1" i="4" s="1"/>
  <c r="B5" i="4"/>
  <c r="B4" i="4" l="1"/>
  <c r="B2" i="4" s="1"/>
  <c r="C5" i="4"/>
  <c r="D5" i="4" s="1"/>
  <c r="D4" i="4" s="1"/>
  <c r="D2" i="4" s="1"/>
  <c r="B3" i="4" l="1"/>
  <c r="D3" i="4"/>
  <c r="E5" i="4"/>
  <c r="C4" i="4"/>
  <c r="C2" i="4" s="1"/>
  <c r="E4" i="4" l="1"/>
  <c r="E2" i="4" s="1"/>
  <c r="F5" i="4"/>
  <c r="C3" i="4"/>
  <c r="F4" i="4" l="1"/>
  <c r="F3" i="4" s="1"/>
  <c r="G5" i="4"/>
  <c r="E3" i="4"/>
  <c r="F2" i="4" l="1"/>
  <c r="H5" i="4"/>
  <c r="G4" i="4"/>
  <c r="G3" i="4" s="1"/>
  <c r="H4" i="4"/>
  <c r="I5" i="4"/>
  <c r="G2" i="4" l="1"/>
  <c r="I4" i="4"/>
  <c r="J5" i="4"/>
  <c r="H2" i="4"/>
  <c r="H3" i="4"/>
  <c r="J4" i="4" l="1"/>
  <c r="K5" i="4"/>
  <c r="I2" i="4"/>
  <c r="I3" i="4"/>
  <c r="K4" i="4" l="1"/>
  <c r="L5" i="4"/>
  <c r="J2" i="4"/>
  <c r="J3" i="4"/>
  <c r="L4" i="4" l="1"/>
  <c r="M5" i="4"/>
  <c r="K2" i="4"/>
  <c r="K3" i="4"/>
  <c r="M4" i="4" l="1"/>
  <c r="N5" i="4"/>
  <c r="L2" i="4"/>
  <c r="L3" i="4"/>
  <c r="O5" i="4" l="1"/>
  <c r="N4" i="4"/>
  <c r="M2" i="4"/>
  <c r="M3" i="4"/>
  <c r="N2" i="4" l="1"/>
  <c r="N3" i="4"/>
  <c r="O4" i="4"/>
  <c r="P5" i="4"/>
  <c r="O2" i="4" l="1"/>
  <c r="O3" i="4"/>
  <c r="P4" i="4"/>
  <c r="Q5" i="4"/>
  <c r="Q4" i="4" l="1"/>
  <c r="R5" i="4"/>
  <c r="P2" i="4"/>
  <c r="P3" i="4"/>
  <c r="R4" i="4" l="1"/>
  <c r="S5" i="4"/>
  <c r="Q2" i="4"/>
  <c r="Q3" i="4"/>
  <c r="S4" i="4" l="1"/>
  <c r="T5" i="4"/>
  <c r="R2" i="4"/>
  <c r="R3" i="4"/>
  <c r="T4" i="4" l="1"/>
  <c r="U5" i="4"/>
  <c r="S3" i="4"/>
  <c r="S2" i="4"/>
  <c r="U4" i="4" l="1"/>
  <c r="V5" i="4"/>
  <c r="T2" i="4"/>
  <c r="T3" i="4"/>
  <c r="V4" i="4" l="1"/>
  <c r="W5" i="4"/>
  <c r="U2" i="4"/>
  <c r="U3" i="4"/>
  <c r="W4" i="4" l="1"/>
  <c r="X5" i="4"/>
  <c r="V2" i="4"/>
  <c r="V3" i="4"/>
  <c r="Y5" i="4" l="1"/>
  <c r="X4" i="4"/>
  <c r="W3" i="4"/>
  <c r="W2" i="4"/>
  <c r="X2" i="4" l="1"/>
  <c r="X3" i="4"/>
  <c r="Y4" i="4"/>
  <c r="Z5" i="4"/>
  <c r="Z4" i="4" l="1"/>
  <c r="AA5" i="4"/>
  <c r="Y2" i="4"/>
  <c r="Y3" i="4"/>
  <c r="AA4" i="4" l="1"/>
  <c r="AB5" i="4"/>
  <c r="Z2" i="4"/>
  <c r="Z3" i="4"/>
  <c r="AB4" i="4" l="1"/>
  <c r="AC5" i="4"/>
  <c r="AA2" i="4"/>
  <c r="AA3" i="4"/>
  <c r="AC4" i="4" l="1"/>
  <c r="AD5" i="4"/>
  <c r="AB2" i="4"/>
  <c r="AB3" i="4"/>
  <c r="AD4" i="4" l="1"/>
  <c r="AE5" i="4"/>
  <c r="AC2" i="4"/>
  <c r="AC3" i="4"/>
  <c r="AE4" i="4" l="1"/>
  <c r="AF5" i="4"/>
  <c r="AD2" i="4"/>
  <c r="AD3" i="4"/>
  <c r="AF4" i="4" l="1"/>
  <c r="AG5" i="4"/>
  <c r="AE2" i="4"/>
  <c r="AE3" i="4"/>
  <c r="AG4" i="4" l="1"/>
  <c r="AH5" i="4"/>
  <c r="AF2" i="4"/>
  <c r="AF3" i="4"/>
  <c r="AH4" i="4" l="1"/>
  <c r="AI5" i="4"/>
  <c r="AG2" i="4"/>
  <c r="AG3" i="4"/>
  <c r="AI4" i="4" l="1"/>
  <c r="AJ5" i="4"/>
  <c r="AH2" i="4"/>
  <c r="AH3" i="4"/>
  <c r="AK5" i="4" l="1"/>
  <c r="AJ4" i="4"/>
  <c r="AI3" i="4"/>
  <c r="AI2" i="4"/>
  <c r="AJ2" i="4" l="1"/>
  <c r="AJ3" i="4"/>
  <c r="AK4" i="4"/>
  <c r="AL5" i="4"/>
  <c r="AK2" i="4" l="1"/>
  <c r="AK3" i="4"/>
  <c r="AL4" i="4"/>
  <c r="AM5" i="4"/>
  <c r="AL2" i="4" l="1"/>
  <c r="AL3" i="4"/>
  <c r="AM4" i="4"/>
  <c r="AN5" i="4"/>
  <c r="AN4" i="4" l="1"/>
  <c r="AO5" i="4"/>
  <c r="AM3" i="4"/>
  <c r="AM2" i="4"/>
  <c r="AO4" i="4" l="1"/>
  <c r="AP5" i="4"/>
  <c r="AN2" i="4"/>
  <c r="AN3" i="4"/>
  <c r="AP4" i="4" l="1"/>
  <c r="AQ5" i="4"/>
  <c r="AO2" i="4"/>
  <c r="AO3" i="4"/>
  <c r="AQ4" i="4" l="1"/>
  <c r="AR5" i="4"/>
  <c r="AP2" i="4"/>
  <c r="AP3" i="4"/>
  <c r="AR4" i="4" l="1"/>
  <c r="AS5" i="4"/>
  <c r="AQ2" i="4"/>
  <c r="AQ3" i="4"/>
  <c r="AS4" i="4" l="1"/>
  <c r="AT5" i="4"/>
  <c r="AR2" i="4"/>
  <c r="AR3" i="4"/>
  <c r="AU5" i="4" l="1"/>
  <c r="AT4" i="4"/>
  <c r="AS2" i="4"/>
  <c r="AS3" i="4"/>
  <c r="AT2" i="4" l="1"/>
  <c r="AT3" i="4"/>
  <c r="AU4" i="4"/>
  <c r="AV5" i="4"/>
  <c r="AV4" i="4" l="1"/>
  <c r="AW5" i="4"/>
  <c r="AU2" i="4"/>
  <c r="AU3" i="4"/>
  <c r="AW4" i="4" l="1"/>
  <c r="AX5" i="4"/>
  <c r="AV2" i="4"/>
  <c r="AV3" i="4"/>
  <c r="AX4" i="4" l="1"/>
  <c r="AY5" i="4"/>
  <c r="AW2" i="4"/>
  <c r="AW3" i="4"/>
  <c r="AY4" i="4" l="1"/>
  <c r="AZ5" i="4"/>
  <c r="AX2" i="4"/>
  <c r="AX3" i="4"/>
  <c r="BA5" i="4" l="1"/>
  <c r="AZ4" i="4"/>
  <c r="AY3" i="4"/>
  <c r="AY2" i="4"/>
  <c r="AZ2" i="4" l="1"/>
  <c r="AZ3" i="4"/>
  <c r="BA4" i="4"/>
  <c r="BB5" i="4"/>
  <c r="BB4" i="4" l="1"/>
  <c r="BC5" i="4"/>
  <c r="BA2" i="4"/>
  <c r="BA3" i="4"/>
  <c r="BB2" i="4" l="1"/>
  <c r="BB3" i="4"/>
  <c r="BC4" i="4"/>
  <c r="BD5" i="4"/>
  <c r="BD4" i="4" l="1"/>
  <c r="BE5" i="4"/>
  <c r="BC3" i="4"/>
  <c r="BC2" i="4"/>
  <c r="BE4" i="4" l="1"/>
  <c r="BF5" i="4"/>
  <c r="BD2" i="4"/>
  <c r="BD3" i="4"/>
  <c r="BF4" i="4" l="1"/>
  <c r="BG5" i="4"/>
  <c r="BE2" i="4"/>
  <c r="BE3" i="4"/>
  <c r="BG4" i="4" l="1"/>
  <c r="BH5" i="4"/>
  <c r="BF2" i="4"/>
  <c r="BF3" i="4"/>
  <c r="BH4" i="4" l="1"/>
  <c r="BI5" i="4"/>
  <c r="BG2" i="4"/>
  <c r="BG3" i="4"/>
  <c r="BI4" i="4" l="1"/>
  <c r="BJ5" i="4"/>
  <c r="BH2" i="4"/>
  <c r="BH3" i="4"/>
  <c r="BJ4" i="4" l="1"/>
  <c r="BK5" i="4"/>
  <c r="BI2" i="4"/>
  <c r="BI3" i="4"/>
  <c r="BK4" i="4" l="1"/>
  <c r="BL5" i="4"/>
  <c r="BJ2" i="4"/>
  <c r="BJ3" i="4"/>
  <c r="BM5" i="4" l="1"/>
  <c r="BL4" i="4"/>
  <c r="BK2" i="4"/>
  <c r="BK3" i="4"/>
  <c r="BM4" i="4" l="1"/>
  <c r="BN5" i="4"/>
  <c r="BL2" i="4"/>
  <c r="BL3" i="4"/>
  <c r="BM2" i="4" l="1"/>
  <c r="BM3" i="4"/>
  <c r="BN4" i="4"/>
  <c r="BO5" i="4"/>
  <c r="BO4" i="4" l="1"/>
  <c r="BP5" i="4"/>
  <c r="BN2" i="4"/>
  <c r="BN3" i="4"/>
  <c r="BQ5" i="4" l="1"/>
  <c r="BP4" i="4"/>
  <c r="BO3" i="4"/>
  <c r="BO2" i="4"/>
  <c r="BP2" i="4" l="1"/>
  <c r="BP3" i="4"/>
  <c r="BQ4" i="4"/>
  <c r="BR5" i="4"/>
  <c r="BS5" i="4" l="1"/>
  <c r="BR4" i="4"/>
  <c r="BQ2" i="4"/>
  <c r="BQ3" i="4"/>
  <c r="BR2" i="4" l="1"/>
  <c r="BR3" i="4"/>
  <c r="BS4" i="4"/>
  <c r="BT5" i="4"/>
  <c r="BS3" i="4" l="1"/>
  <c r="BS2" i="4"/>
  <c r="BT4" i="4"/>
  <c r="BU5" i="4"/>
  <c r="BT2" i="4" l="1"/>
  <c r="BT3" i="4"/>
  <c r="BU4" i="4"/>
  <c r="BV5" i="4"/>
  <c r="BU2" i="4" l="1"/>
  <c r="BU3" i="4"/>
  <c r="BV4" i="4"/>
  <c r="BW5" i="4"/>
  <c r="BX5" i="4" l="1"/>
  <c r="BW4" i="4"/>
  <c r="BV2" i="4"/>
  <c r="BV3" i="4"/>
  <c r="BW2" i="4" l="1"/>
  <c r="BW3" i="4"/>
  <c r="BX4" i="4"/>
  <c r="BY5" i="4"/>
  <c r="BY4" i="4" l="1"/>
  <c r="BZ5" i="4"/>
  <c r="BX2" i="4"/>
  <c r="BX3" i="4"/>
  <c r="BZ4" i="4" l="1"/>
  <c r="CA5" i="4"/>
  <c r="BY2" i="4"/>
  <c r="BY3" i="4"/>
  <c r="BZ2" i="4" l="1"/>
  <c r="BZ3" i="4"/>
  <c r="CA4" i="4"/>
  <c r="CB5" i="4"/>
  <c r="CC5" i="4" l="1"/>
  <c r="CB4" i="4"/>
  <c r="CA2" i="4"/>
  <c r="CA3" i="4"/>
  <c r="CB2" i="4" l="1"/>
  <c r="CB3" i="4"/>
  <c r="CC4" i="4"/>
  <c r="CD5" i="4"/>
  <c r="CC2" i="4" l="1"/>
  <c r="CC3" i="4"/>
  <c r="CD4" i="4"/>
  <c r="CE5" i="4"/>
  <c r="CD2" i="4" l="1"/>
  <c r="CD3" i="4"/>
  <c r="CE4" i="4"/>
  <c r="CF5" i="4"/>
  <c r="CE3" i="4" l="1"/>
  <c r="CE2" i="4"/>
  <c r="CG5" i="4"/>
  <c r="CF4" i="4"/>
  <c r="CF2" i="4" l="1"/>
  <c r="CF3" i="4"/>
  <c r="CG4" i="4"/>
  <c r="CH5" i="4"/>
  <c r="CG2" i="4" l="1"/>
  <c r="CG3" i="4"/>
  <c r="CH4" i="4"/>
  <c r="CI5" i="4"/>
  <c r="CH2" i="4" l="1"/>
  <c r="CH3" i="4"/>
  <c r="CI4" i="4"/>
  <c r="CJ5" i="4"/>
  <c r="CJ4" i="4" l="1"/>
  <c r="CK5" i="4"/>
  <c r="CI3" i="4"/>
  <c r="CI2" i="4"/>
  <c r="CK4" i="4" l="1"/>
  <c r="CL5" i="4"/>
  <c r="CJ2" i="4"/>
  <c r="CJ3" i="4"/>
  <c r="CL4" i="4" l="1"/>
  <c r="CM5" i="4"/>
  <c r="CK2" i="4"/>
  <c r="CK3" i="4"/>
  <c r="CN5" i="4" l="1"/>
  <c r="CM4" i="4"/>
  <c r="CL2" i="4"/>
  <c r="CL3" i="4"/>
  <c r="CM2" i="4" l="1"/>
  <c r="CM3" i="4"/>
  <c r="CN4" i="4"/>
  <c r="CO5" i="4"/>
  <c r="CO4" i="4" l="1"/>
  <c r="CP5" i="4"/>
  <c r="CN2" i="4"/>
  <c r="CN3" i="4"/>
  <c r="CP4" i="4" l="1"/>
  <c r="CQ5" i="4"/>
  <c r="CO2" i="4"/>
  <c r="CO3" i="4"/>
  <c r="CQ4" i="4" l="1"/>
  <c r="CR5" i="4"/>
  <c r="CP2" i="4"/>
  <c r="CP3" i="4"/>
  <c r="CS5" i="4" l="1"/>
  <c r="CR4" i="4"/>
  <c r="CQ2" i="4"/>
  <c r="CQ3" i="4"/>
  <c r="CR2" i="4" l="1"/>
  <c r="CR3" i="4"/>
  <c r="CS4" i="4"/>
  <c r="CT5" i="4"/>
  <c r="CS2" i="4" l="1"/>
  <c r="CS3" i="4"/>
  <c r="CT4" i="4"/>
  <c r="CU5" i="4"/>
  <c r="CU4" i="4" l="1"/>
  <c r="CV5" i="4"/>
  <c r="CT2" i="4"/>
  <c r="CT3" i="4"/>
  <c r="CW5" i="4" l="1"/>
  <c r="CV4" i="4"/>
  <c r="CU3" i="4"/>
  <c r="CU2" i="4"/>
  <c r="CV2" i="4" l="1"/>
  <c r="CV3" i="4"/>
  <c r="CW4" i="4"/>
  <c r="CX5" i="4"/>
  <c r="CW2" i="4" l="1"/>
  <c r="CW3" i="4"/>
  <c r="CX4" i="4"/>
  <c r="CY5" i="4"/>
  <c r="CY4" i="4" l="1"/>
  <c r="CZ5" i="4"/>
  <c r="CX2" i="4"/>
  <c r="CX3" i="4"/>
  <c r="CZ4" i="4" l="1"/>
  <c r="DA5" i="4"/>
  <c r="CY3" i="4"/>
  <c r="CY2" i="4"/>
  <c r="DA4" i="4" l="1"/>
  <c r="DB5" i="4"/>
  <c r="CZ2" i="4"/>
  <c r="CZ3" i="4"/>
  <c r="DB4" i="4" l="1"/>
  <c r="DC5" i="4"/>
  <c r="DA2" i="4"/>
  <c r="DA3" i="4"/>
  <c r="DD5" i="4" l="1"/>
  <c r="DC4" i="4"/>
  <c r="DB2" i="4"/>
  <c r="DB3" i="4"/>
  <c r="DC2" i="4" l="1"/>
  <c r="DC3" i="4"/>
  <c r="DD4" i="4"/>
  <c r="DE5" i="4"/>
  <c r="DD2" i="4" l="1"/>
  <c r="DD3" i="4"/>
  <c r="DE4" i="4"/>
  <c r="DF5" i="4"/>
  <c r="DE2" i="4" l="1"/>
  <c r="DE3" i="4"/>
  <c r="DF4" i="4"/>
  <c r="DG5" i="4"/>
  <c r="DF2" i="4" l="1"/>
  <c r="DF3" i="4"/>
  <c r="DG4" i="4"/>
  <c r="DH5" i="4"/>
  <c r="DG2" i="4" l="1"/>
  <c r="DG3" i="4"/>
  <c r="DI5" i="4"/>
  <c r="DH4" i="4"/>
  <c r="DI4" i="4" l="1"/>
  <c r="DJ5" i="4"/>
  <c r="DH2" i="4"/>
  <c r="DH3" i="4"/>
  <c r="DJ4" i="4" l="1"/>
  <c r="DK5" i="4"/>
  <c r="DI2" i="4"/>
  <c r="DI3" i="4"/>
  <c r="DK4" i="4" l="1"/>
  <c r="DL5" i="4"/>
  <c r="DJ2" i="4"/>
  <c r="DJ3" i="4"/>
  <c r="DM5" i="4" l="1"/>
  <c r="DL4" i="4"/>
  <c r="DK3" i="4"/>
  <c r="DK2" i="4"/>
  <c r="DL2" i="4" l="1"/>
  <c r="DL3" i="4"/>
  <c r="DM4" i="4"/>
  <c r="DN5" i="4"/>
  <c r="DM2" i="4" l="1"/>
  <c r="DM3" i="4"/>
  <c r="DO5" i="4"/>
  <c r="DN4" i="4"/>
  <c r="DN2" i="4" l="1"/>
  <c r="DN3" i="4"/>
  <c r="DO4" i="4"/>
  <c r="DP5" i="4"/>
  <c r="DO3" i="4" l="1"/>
  <c r="DO2" i="4"/>
  <c r="DP4" i="4"/>
  <c r="DQ5" i="4"/>
  <c r="DQ4" i="4" l="1"/>
  <c r="DR5" i="4"/>
  <c r="DP2" i="4"/>
  <c r="DP3" i="4"/>
  <c r="DR4" i="4" l="1"/>
  <c r="DS5" i="4"/>
  <c r="DQ2" i="4"/>
  <c r="DQ3" i="4"/>
  <c r="DS4" i="4" l="1"/>
  <c r="DT5" i="4"/>
  <c r="DR2" i="4"/>
  <c r="DR3" i="4"/>
  <c r="DT4" i="4" l="1"/>
  <c r="DU5" i="4"/>
  <c r="DS2" i="4"/>
  <c r="DS3" i="4"/>
  <c r="DU4" i="4" l="1"/>
  <c r="DV5" i="4"/>
  <c r="DT2" i="4"/>
  <c r="DT3" i="4"/>
  <c r="DV4" i="4" l="1"/>
  <c r="DW5" i="4"/>
  <c r="DU2" i="4"/>
  <c r="DU3" i="4"/>
  <c r="DW4" i="4" l="1"/>
  <c r="DX5" i="4"/>
  <c r="DV2" i="4"/>
  <c r="DV3" i="4"/>
  <c r="DY5" i="4" l="1"/>
  <c r="DX4" i="4"/>
  <c r="DW2" i="4"/>
  <c r="DW3" i="4"/>
  <c r="DX2" i="4" l="1"/>
  <c r="DX3" i="4"/>
  <c r="DY4" i="4"/>
  <c r="DZ5" i="4"/>
  <c r="DY2" i="4" l="1"/>
  <c r="DY3" i="4"/>
  <c r="DZ4" i="4"/>
  <c r="EA5" i="4"/>
  <c r="EA4" i="4" l="1"/>
  <c r="EB5" i="4"/>
  <c r="DZ2" i="4"/>
  <c r="DZ3" i="4"/>
  <c r="EC5" i="4" l="1"/>
  <c r="EB4" i="4"/>
  <c r="EA3" i="4"/>
  <c r="EA2" i="4"/>
  <c r="EB2" i="4" l="1"/>
  <c r="EB3" i="4"/>
  <c r="EC4" i="4"/>
  <c r="ED5" i="4"/>
  <c r="ED4" i="4" l="1"/>
  <c r="EE5" i="4"/>
  <c r="EC2" i="4"/>
  <c r="EC3" i="4"/>
  <c r="EE4" i="4" l="1"/>
  <c r="EF5" i="4"/>
  <c r="ED2" i="4"/>
  <c r="ED3" i="4"/>
  <c r="EF4" i="4" l="1"/>
  <c r="EG5" i="4"/>
  <c r="EE3" i="4"/>
  <c r="EE2" i="4"/>
  <c r="EG4" i="4" l="1"/>
  <c r="EH5" i="4"/>
  <c r="EF2" i="4"/>
  <c r="EF3" i="4"/>
  <c r="EH4" i="4" l="1"/>
  <c r="EI5" i="4"/>
  <c r="EG2" i="4"/>
  <c r="EG3" i="4"/>
  <c r="EJ5" i="4" l="1"/>
  <c r="EI4" i="4"/>
  <c r="EH2" i="4"/>
  <c r="EH3" i="4"/>
  <c r="EI2" i="4" l="1"/>
  <c r="EI3" i="4"/>
  <c r="EJ4" i="4"/>
  <c r="EK5" i="4"/>
  <c r="EK4" i="4" l="1"/>
  <c r="EL5" i="4"/>
  <c r="EJ2" i="4"/>
  <c r="EJ3" i="4"/>
  <c r="EK2" i="4" l="1"/>
  <c r="EK3" i="4"/>
  <c r="EL4" i="4"/>
  <c r="EM5" i="4"/>
  <c r="EM4" i="4" l="1"/>
  <c r="EN5" i="4"/>
  <c r="EL2" i="4"/>
  <c r="EL3" i="4"/>
  <c r="EO5" i="4" l="1"/>
  <c r="EN4" i="4"/>
  <c r="EM2" i="4"/>
  <c r="EM3" i="4"/>
  <c r="EN2" i="4" l="1"/>
  <c r="EN3" i="4"/>
  <c r="EO4" i="4"/>
  <c r="EP5" i="4"/>
  <c r="EP4" i="4" l="1"/>
  <c r="EQ5" i="4"/>
  <c r="EO2" i="4"/>
  <c r="EO3" i="4"/>
  <c r="EQ4" i="4" l="1"/>
  <c r="ER5" i="4"/>
  <c r="EP2" i="4"/>
  <c r="EP3" i="4"/>
  <c r="ES5" i="4" l="1"/>
  <c r="ER4" i="4"/>
  <c r="EQ3" i="4"/>
  <c r="EQ2" i="4"/>
  <c r="ES4" i="4" l="1"/>
  <c r="ET5" i="4"/>
  <c r="ER2" i="4"/>
  <c r="ER3" i="4"/>
  <c r="ET4" i="4" l="1"/>
  <c r="EU5" i="4"/>
  <c r="ES2" i="4"/>
  <c r="ES3" i="4"/>
  <c r="EU4" i="4" l="1"/>
  <c r="EV5" i="4"/>
  <c r="ET2" i="4"/>
  <c r="ET3" i="4"/>
  <c r="EV4" i="4" l="1"/>
  <c r="EW5" i="4"/>
  <c r="EU3" i="4"/>
  <c r="EU2" i="4"/>
  <c r="EW4" i="4" l="1"/>
  <c r="EX5" i="4"/>
  <c r="EV2" i="4"/>
  <c r="EV3" i="4"/>
  <c r="EX4" i="4" l="1"/>
  <c r="EY5" i="4"/>
  <c r="EW2" i="4"/>
  <c r="EW3" i="4"/>
  <c r="EY4" i="4" l="1"/>
  <c r="EZ5" i="4"/>
  <c r="EX2" i="4"/>
  <c r="EX3" i="4"/>
  <c r="EZ4" i="4" l="1"/>
  <c r="FA5" i="4"/>
  <c r="EY2" i="4"/>
  <c r="EY3" i="4"/>
  <c r="FA4" i="4" l="1"/>
  <c r="FB5" i="4"/>
  <c r="EZ2" i="4"/>
  <c r="EZ3" i="4"/>
  <c r="FB4" i="4" l="1"/>
  <c r="FC5" i="4"/>
  <c r="FA2" i="4"/>
  <c r="FA3" i="4"/>
  <c r="FC4" i="4" l="1"/>
  <c r="FD5" i="4"/>
  <c r="FB2" i="4"/>
  <c r="FB3" i="4"/>
  <c r="FE5" i="4" l="1"/>
  <c r="FD4" i="4"/>
  <c r="FC2" i="4"/>
  <c r="FC3" i="4"/>
  <c r="FD2" i="4" l="1"/>
  <c r="FD3" i="4"/>
  <c r="FE4" i="4"/>
  <c r="FF5" i="4"/>
  <c r="FF4" i="4" l="1"/>
  <c r="FG5" i="4"/>
  <c r="FE2" i="4"/>
  <c r="FE3" i="4"/>
  <c r="FG4" i="4" l="1"/>
  <c r="FH5" i="4"/>
  <c r="FF2" i="4"/>
  <c r="FF3" i="4"/>
  <c r="FI5" i="4" l="1"/>
  <c r="FH4" i="4"/>
  <c r="FG3" i="4"/>
  <c r="FG2" i="4"/>
  <c r="FH2" i="4" l="1"/>
  <c r="FH3" i="4"/>
  <c r="FI4" i="4"/>
  <c r="FJ5" i="4"/>
  <c r="FI2" i="4" l="1"/>
  <c r="FI3" i="4"/>
  <c r="FJ4" i="4"/>
  <c r="FK5" i="4"/>
  <c r="FK4" i="4" l="1"/>
  <c r="FL5" i="4"/>
  <c r="FJ2" i="4"/>
  <c r="FJ3" i="4"/>
  <c r="FL4" i="4" l="1"/>
  <c r="FM5" i="4"/>
  <c r="FK3" i="4"/>
  <c r="FK2" i="4"/>
  <c r="FM4" i="4" l="1"/>
  <c r="FN5" i="4"/>
  <c r="FL2" i="4"/>
  <c r="FL3" i="4"/>
  <c r="FN4" i="4" l="1"/>
  <c r="FO5" i="4"/>
  <c r="FM2" i="4"/>
  <c r="FM3" i="4"/>
  <c r="FO4" i="4" l="1"/>
  <c r="FP5" i="4"/>
  <c r="FN2" i="4"/>
  <c r="FN3" i="4"/>
  <c r="FP4" i="4" l="1"/>
  <c r="FQ5" i="4"/>
  <c r="FO2" i="4"/>
  <c r="FO3" i="4"/>
  <c r="FQ4" i="4" l="1"/>
  <c r="FR5" i="4"/>
  <c r="FP2" i="4"/>
  <c r="FP3" i="4"/>
  <c r="FR4" i="4" l="1"/>
  <c r="FS5" i="4"/>
  <c r="FQ2" i="4"/>
  <c r="FQ3" i="4"/>
  <c r="FS4" i="4" l="1"/>
  <c r="FT5" i="4"/>
  <c r="FR2" i="4"/>
  <c r="FR3" i="4"/>
  <c r="FU5" i="4" l="1"/>
  <c r="FT4" i="4"/>
  <c r="FS2" i="4"/>
  <c r="FS3" i="4"/>
  <c r="FT2" i="4" l="1"/>
  <c r="FT3" i="4"/>
  <c r="FU4" i="4"/>
  <c r="FV5" i="4"/>
  <c r="FV4" i="4" l="1"/>
  <c r="FW5" i="4"/>
  <c r="FU2" i="4"/>
  <c r="FU3" i="4"/>
  <c r="FW4" i="4" l="1"/>
  <c r="FX5" i="4"/>
  <c r="FV2" i="4"/>
  <c r="FV3" i="4"/>
  <c r="FY5" i="4" l="1"/>
  <c r="FX4" i="4"/>
  <c r="FW3" i="4"/>
  <c r="FW2" i="4"/>
  <c r="FX2" i="4" l="1"/>
  <c r="FX3" i="4"/>
  <c r="FY4" i="4"/>
  <c r="FZ5" i="4"/>
  <c r="GA5" i="4" l="1"/>
  <c r="FZ4" i="4"/>
  <c r="FY2" i="4"/>
  <c r="FY3" i="4"/>
  <c r="FZ2" i="4" l="1"/>
  <c r="FZ3" i="4"/>
  <c r="GA4" i="4"/>
  <c r="GB5" i="4"/>
  <c r="GB4" i="4" l="1"/>
  <c r="GC5" i="4"/>
  <c r="GA3" i="4"/>
  <c r="GA2" i="4"/>
  <c r="GC4" i="4" l="1"/>
  <c r="GD5" i="4"/>
  <c r="GB2" i="4"/>
  <c r="GB3" i="4"/>
  <c r="GD4" i="4" l="1"/>
  <c r="GE5" i="4"/>
  <c r="GC2" i="4"/>
  <c r="GC3" i="4"/>
  <c r="GE4" i="4" l="1"/>
  <c r="GF5" i="4"/>
  <c r="GD2" i="4"/>
  <c r="GD3" i="4"/>
  <c r="GF4" i="4" l="1"/>
  <c r="GG5" i="4"/>
  <c r="GE2" i="4"/>
  <c r="GE3" i="4"/>
  <c r="GG4" i="4" l="1"/>
  <c r="GH5" i="4"/>
  <c r="GF2" i="4"/>
  <c r="GF3" i="4"/>
  <c r="GH4" i="4" l="1"/>
  <c r="GI5" i="4"/>
  <c r="GG2" i="4"/>
  <c r="GG3" i="4"/>
  <c r="GI4" i="4" l="1"/>
  <c r="GJ5" i="4"/>
  <c r="GH2" i="4"/>
  <c r="GH3" i="4"/>
  <c r="GI2" i="4" l="1"/>
  <c r="GI3" i="4"/>
  <c r="GK5" i="4"/>
  <c r="GJ4" i="4"/>
  <c r="GJ2" i="4" l="1"/>
  <c r="GJ3" i="4"/>
  <c r="GK4" i="4"/>
  <c r="GL5" i="4"/>
  <c r="GL4" i="4" l="1"/>
  <c r="GM5" i="4"/>
  <c r="GK2" i="4"/>
  <c r="GK3" i="4"/>
  <c r="GM4" i="4" l="1"/>
  <c r="GN5" i="4"/>
  <c r="GL2" i="4"/>
  <c r="GL3" i="4"/>
  <c r="GO5" i="4" l="1"/>
  <c r="GN4" i="4"/>
  <c r="GM3" i="4"/>
  <c r="GM2" i="4"/>
  <c r="GN2" i="4" l="1"/>
  <c r="GN3" i="4"/>
  <c r="GO4" i="4"/>
  <c r="GP5" i="4"/>
  <c r="GP4" i="4" l="1"/>
  <c r="GQ5" i="4"/>
  <c r="GO2" i="4"/>
  <c r="GO3" i="4"/>
  <c r="GQ4" i="4" l="1"/>
  <c r="GR5" i="4"/>
  <c r="GP2" i="4"/>
  <c r="GP3" i="4"/>
  <c r="GR4" i="4" l="1"/>
  <c r="GS5" i="4"/>
  <c r="GQ3" i="4"/>
  <c r="GQ2" i="4"/>
  <c r="GS4" i="4" l="1"/>
  <c r="GT5" i="4"/>
  <c r="GR2" i="4"/>
  <c r="GR3" i="4"/>
  <c r="GT4" i="4" l="1"/>
  <c r="GU5" i="4"/>
  <c r="GS2" i="4"/>
  <c r="GS3" i="4"/>
  <c r="GV5" i="4" l="1"/>
  <c r="GU4" i="4"/>
  <c r="GT2" i="4"/>
  <c r="GT3" i="4"/>
  <c r="GU2" i="4" l="1"/>
  <c r="GU3" i="4"/>
  <c r="GV4" i="4"/>
  <c r="GW5" i="4"/>
  <c r="GW4" i="4" l="1"/>
  <c r="GX5" i="4"/>
  <c r="GV2" i="4"/>
  <c r="GV3" i="4"/>
  <c r="GX4" i="4" l="1"/>
  <c r="GY5" i="4"/>
  <c r="GW2" i="4"/>
  <c r="GW3" i="4"/>
  <c r="GY4" i="4" l="1"/>
  <c r="GZ5" i="4"/>
  <c r="GX2" i="4"/>
  <c r="GX3" i="4"/>
  <c r="HA5" i="4" l="1"/>
  <c r="GZ4" i="4"/>
  <c r="GY2" i="4"/>
  <c r="GY3" i="4"/>
  <c r="GZ2" i="4" l="1"/>
  <c r="GZ3" i="4"/>
  <c r="HA4" i="4"/>
  <c r="HB5" i="4"/>
  <c r="HB4" i="4" l="1"/>
  <c r="HC5" i="4"/>
  <c r="HA2" i="4"/>
  <c r="HA3" i="4"/>
  <c r="HC4" i="4" l="1"/>
  <c r="HD5" i="4"/>
  <c r="HB2" i="4"/>
  <c r="HB3" i="4"/>
  <c r="HE5" i="4" l="1"/>
  <c r="HD4" i="4"/>
  <c r="HC3" i="4"/>
  <c r="HC2" i="4"/>
  <c r="HD2" i="4" l="1"/>
  <c r="HD3" i="4"/>
  <c r="HE4" i="4"/>
  <c r="HF5" i="4"/>
  <c r="HF4" i="4" l="1"/>
  <c r="HG5" i="4"/>
  <c r="HE2" i="4"/>
  <c r="HE3" i="4"/>
  <c r="HG4" i="4" l="1"/>
  <c r="HH5" i="4"/>
  <c r="HF2" i="4"/>
  <c r="HF3" i="4"/>
  <c r="HI5" i="4" l="1"/>
  <c r="HH4" i="4"/>
  <c r="HG3" i="4"/>
  <c r="HG2" i="4"/>
  <c r="HH2" i="4" l="1"/>
  <c r="HH3" i="4"/>
  <c r="HJ5" i="4"/>
  <c r="HI4" i="4"/>
  <c r="HI2" i="4" l="1"/>
  <c r="HI3" i="4"/>
  <c r="HJ4" i="4"/>
  <c r="HK5" i="4"/>
  <c r="HJ2" i="4" l="1"/>
  <c r="HJ3" i="4"/>
  <c r="HK4" i="4"/>
  <c r="HL5" i="4"/>
  <c r="HK2" i="4" l="1"/>
  <c r="HK3" i="4"/>
  <c r="HM5" i="4"/>
  <c r="HL4" i="4"/>
  <c r="HL2" i="4" l="1"/>
  <c r="HL3" i="4"/>
  <c r="HN5" i="4"/>
  <c r="HM4" i="4"/>
  <c r="HM2" i="4" l="1"/>
  <c r="HM3" i="4"/>
  <c r="HN4" i="4"/>
  <c r="HO5" i="4"/>
  <c r="HO4" i="4" l="1"/>
  <c r="HP5" i="4"/>
  <c r="HN2" i="4"/>
  <c r="HN3" i="4"/>
  <c r="HQ5" i="4" l="1"/>
  <c r="HP4" i="4"/>
  <c r="HO2" i="4"/>
  <c r="HO3" i="4"/>
  <c r="HP2" i="4" l="1"/>
  <c r="HP3" i="4"/>
  <c r="HQ4" i="4"/>
  <c r="HR5" i="4"/>
  <c r="HR4" i="4" l="1"/>
  <c r="HS5" i="4"/>
  <c r="HQ2" i="4"/>
  <c r="HQ3" i="4"/>
  <c r="HS4" i="4" l="1"/>
  <c r="HT5" i="4"/>
  <c r="HR2" i="4"/>
  <c r="HR3" i="4"/>
  <c r="HU5" i="4" l="1"/>
  <c r="HT4" i="4"/>
  <c r="HS3" i="4"/>
  <c r="HS2" i="4"/>
  <c r="HT2" i="4" l="1"/>
  <c r="HT3" i="4"/>
  <c r="HU4" i="4"/>
  <c r="HV5" i="4"/>
  <c r="HV4" i="4" l="1"/>
  <c r="HW5" i="4"/>
  <c r="HU2" i="4"/>
  <c r="HU3" i="4"/>
  <c r="HW4" i="4" l="1"/>
  <c r="HX5" i="4"/>
  <c r="HV2" i="4"/>
  <c r="HV3" i="4"/>
  <c r="HY5" i="4" l="1"/>
  <c r="HX4" i="4"/>
  <c r="HW3" i="4"/>
  <c r="HW2" i="4"/>
  <c r="HX2" i="4" l="1"/>
  <c r="HX3" i="4"/>
  <c r="HZ5" i="4"/>
  <c r="HY4" i="4"/>
  <c r="HY2" i="4" l="1"/>
  <c r="HY3" i="4"/>
  <c r="HZ4" i="4"/>
  <c r="IA5" i="4"/>
  <c r="IA4" i="4" l="1"/>
  <c r="IB5" i="4"/>
  <c r="HZ2" i="4"/>
  <c r="HZ3" i="4"/>
  <c r="IC5" i="4" l="1"/>
  <c r="IB4" i="4"/>
  <c r="IA2" i="4"/>
  <c r="IA3" i="4"/>
  <c r="IB2" i="4" l="1"/>
  <c r="IB3" i="4"/>
  <c r="ID5" i="4"/>
  <c r="IC4" i="4"/>
  <c r="IC2" i="4" l="1"/>
  <c r="IC3" i="4"/>
  <c r="ID4" i="4"/>
  <c r="IE5" i="4"/>
  <c r="IE4" i="4" l="1"/>
  <c r="IF5" i="4"/>
  <c r="ID2" i="4"/>
  <c r="ID3" i="4"/>
  <c r="IG5" i="4" l="1"/>
  <c r="IF4" i="4"/>
  <c r="IE2" i="4"/>
  <c r="IE3" i="4"/>
  <c r="IF2" i="4" l="1"/>
  <c r="IF3" i="4"/>
  <c r="IG4" i="4"/>
  <c r="IH5" i="4"/>
  <c r="IH4" i="4" l="1"/>
  <c r="II5" i="4"/>
  <c r="IG2" i="4"/>
  <c r="IG3" i="4"/>
  <c r="II4" i="4" l="1"/>
  <c r="IJ5" i="4"/>
  <c r="IH2" i="4"/>
  <c r="IH3" i="4"/>
  <c r="IK5" i="4" l="1"/>
  <c r="IJ4" i="4"/>
  <c r="II3" i="4"/>
  <c r="II2" i="4"/>
  <c r="IJ2" i="4" l="1"/>
  <c r="IJ3" i="4"/>
  <c r="IK4" i="4"/>
  <c r="IL5" i="4"/>
  <c r="IL4" i="4" l="1"/>
  <c r="IM5" i="4"/>
  <c r="IK2" i="4"/>
  <c r="IK3" i="4"/>
  <c r="IM4" i="4" l="1"/>
  <c r="IN5" i="4"/>
  <c r="IL2" i="4"/>
  <c r="IL3" i="4"/>
  <c r="IO5" i="4" l="1"/>
  <c r="IN4" i="4"/>
  <c r="IM3" i="4"/>
  <c r="IM2" i="4"/>
  <c r="IN2" i="4" l="1"/>
  <c r="IN3" i="4"/>
  <c r="IP5" i="4"/>
  <c r="IO4" i="4"/>
  <c r="IO2" i="4" l="1"/>
  <c r="IO3" i="4"/>
  <c r="IP4" i="4"/>
  <c r="IQ5" i="4"/>
  <c r="IP2" i="4" l="1"/>
  <c r="IP3" i="4"/>
  <c r="IQ4" i="4"/>
  <c r="IR5" i="4"/>
  <c r="IS5" i="4" l="1"/>
  <c r="IR4" i="4"/>
  <c r="IQ2" i="4"/>
  <c r="IQ3" i="4"/>
  <c r="IR2" i="4" l="1"/>
  <c r="IR3" i="4"/>
  <c r="IT5" i="4"/>
  <c r="IS4" i="4"/>
  <c r="IS2" i="4" l="1"/>
  <c r="IS3" i="4"/>
  <c r="IT4" i="4"/>
  <c r="IU5" i="4"/>
  <c r="IU4" i="4" l="1"/>
  <c r="IV5" i="4"/>
  <c r="IT2" i="4"/>
  <c r="IT3" i="4"/>
  <c r="IW5" i="4" l="1"/>
  <c r="IV4" i="4"/>
  <c r="IU2" i="4"/>
  <c r="IU3" i="4"/>
  <c r="IV2" i="4" l="1"/>
  <c r="IV3" i="4"/>
  <c r="IW4" i="4"/>
  <c r="IX5" i="4"/>
  <c r="IX4" i="4" l="1"/>
  <c r="IY5" i="4"/>
  <c r="IW2" i="4"/>
  <c r="IW3" i="4"/>
  <c r="IY4" i="4" l="1"/>
  <c r="IZ5" i="4"/>
  <c r="IX2" i="4"/>
  <c r="IX3" i="4"/>
  <c r="JA5" i="4" l="1"/>
  <c r="IZ4" i="4"/>
  <c r="IY3" i="4"/>
  <c r="IY2" i="4"/>
  <c r="IZ2" i="4" l="1"/>
  <c r="IZ3" i="4"/>
  <c r="JA4" i="4"/>
  <c r="JB5" i="4"/>
  <c r="JB4" i="4" l="1"/>
  <c r="JC5" i="4"/>
  <c r="JA2" i="4"/>
  <c r="JA3" i="4"/>
  <c r="JC4" i="4" l="1"/>
  <c r="JD5" i="4"/>
  <c r="JB2" i="4"/>
  <c r="JB3" i="4"/>
  <c r="JE5" i="4" l="1"/>
  <c r="JD4" i="4"/>
  <c r="JC3" i="4"/>
  <c r="JC2" i="4"/>
  <c r="JD2" i="4" l="1"/>
  <c r="JD3" i="4"/>
  <c r="JF5" i="4"/>
  <c r="JE4" i="4"/>
  <c r="JF4" i="4" l="1"/>
  <c r="JG5" i="4"/>
  <c r="JE2" i="4"/>
  <c r="JE3" i="4"/>
  <c r="JG4" i="4" l="1"/>
  <c r="JH5" i="4"/>
  <c r="JF2" i="4"/>
  <c r="JF3" i="4"/>
  <c r="JI5" i="4" l="1"/>
  <c r="JH4" i="4"/>
  <c r="JG2" i="4"/>
  <c r="JG3" i="4"/>
  <c r="JI4" i="4" l="1"/>
  <c r="JJ5" i="4"/>
  <c r="JH2" i="4"/>
  <c r="JH3" i="4"/>
  <c r="JJ4" i="4" l="1"/>
  <c r="JK5" i="4"/>
  <c r="JI2" i="4"/>
  <c r="JI3" i="4"/>
  <c r="JJ2" i="4" l="1"/>
  <c r="JJ3" i="4"/>
  <c r="JK4" i="4"/>
  <c r="JL5" i="4"/>
  <c r="JM5" i="4" l="1"/>
  <c r="JL4" i="4"/>
  <c r="JK2" i="4"/>
  <c r="JK3" i="4"/>
  <c r="JL2" i="4" l="1"/>
  <c r="JL3" i="4"/>
  <c r="JM4" i="4"/>
  <c r="JN5" i="4"/>
  <c r="JN4" i="4" l="1"/>
  <c r="JO5" i="4"/>
  <c r="JM2" i="4"/>
  <c r="JM3" i="4"/>
  <c r="JN2" i="4" l="1"/>
  <c r="JN3" i="4"/>
  <c r="JO4" i="4"/>
  <c r="JP5" i="4"/>
  <c r="JQ5" i="4" l="1"/>
  <c r="JP4" i="4"/>
  <c r="JO3" i="4"/>
  <c r="JO2" i="4"/>
  <c r="JQ4" i="4" l="1"/>
  <c r="JR5" i="4"/>
  <c r="JP2" i="4"/>
  <c r="JP3" i="4"/>
  <c r="JR4" i="4" l="1"/>
  <c r="JS5" i="4"/>
  <c r="JQ2" i="4"/>
  <c r="JQ3" i="4"/>
  <c r="JS4" i="4" l="1"/>
  <c r="JT5" i="4"/>
  <c r="JR2" i="4"/>
  <c r="JR3" i="4"/>
  <c r="JU5" i="4" l="1"/>
  <c r="JT4" i="4"/>
  <c r="JS3" i="4"/>
  <c r="JS2" i="4"/>
  <c r="JT2" i="4" l="1"/>
  <c r="JT3" i="4"/>
  <c r="JV5" i="4"/>
  <c r="JU4" i="4"/>
  <c r="JU2" i="4" l="1"/>
  <c r="JU3" i="4"/>
  <c r="JV4" i="4"/>
  <c r="JW5" i="4"/>
  <c r="JW4" i="4" l="1"/>
  <c r="JX5" i="4"/>
  <c r="JV2" i="4"/>
  <c r="JV3" i="4"/>
  <c r="JW2" i="4" l="1"/>
  <c r="JW3" i="4"/>
  <c r="JY5" i="4"/>
  <c r="JX4" i="4"/>
  <c r="JX2" i="4" l="1"/>
  <c r="JX3" i="4"/>
  <c r="JY4" i="4"/>
  <c r="JZ5" i="4"/>
  <c r="JZ4" i="4" l="1"/>
  <c r="KA5" i="4"/>
  <c r="JY2" i="4"/>
  <c r="JY3" i="4"/>
  <c r="KA4" i="4" l="1"/>
  <c r="KB5" i="4"/>
  <c r="JZ2" i="4"/>
  <c r="JZ3" i="4"/>
  <c r="KA2" i="4" l="1"/>
  <c r="KA3" i="4"/>
  <c r="KC5" i="4"/>
  <c r="KB4" i="4"/>
  <c r="KB2" i="4" l="1"/>
  <c r="KB3" i="4"/>
  <c r="KC4" i="4"/>
  <c r="KD5" i="4"/>
  <c r="KD4" i="4" l="1"/>
  <c r="KE5" i="4"/>
  <c r="KC2" i="4"/>
  <c r="KC3" i="4"/>
  <c r="KD2" i="4" l="1"/>
  <c r="KD3" i="4"/>
  <c r="KE4" i="4"/>
  <c r="KF5" i="4"/>
  <c r="KG5" i="4" l="1"/>
  <c r="KF4" i="4"/>
  <c r="KE3" i="4"/>
  <c r="KE2" i="4"/>
  <c r="KF2" i="4" l="1"/>
  <c r="KF3" i="4"/>
  <c r="KG4" i="4"/>
  <c r="KH5" i="4"/>
  <c r="KH4" i="4" l="1"/>
  <c r="KI5" i="4"/>
  <c r="KG2" i="4"/>
  <c r="KG3" i="4"/>
  <c r="KH2" i="4" l="1"/>
  <c r="KH3" i="4"/>
  <c r="KI4" i="4"/>
  <c r="KJ5" i="4"/>
  <c r="KK5" i="4" l="1"/>
  <c r="KJ4" i="4"/>
  <c r="KI3" i="4"/>
  <c r="KI2" i="4"/>
  <c r="KL5" i="4" l="1"/>
  <c r="KK4" i="4"/>
  <c r="KJ2" i="4"/>
  <c r="KJ3" i="4"/>
  <c r="KL4" i="4" l="1"/>
  <c r="KM5" i="4"/>
  <c r="KK2" i="4"/>
  <c r="KK3" i="4"/>
  <c r="KM4" i="4" l="1"/>
  <c r="KN5" i="4"/>
  <c r="KL2" i="4"/>
  <c r="KL3" i="4"/>
  <c r="KN4" i="4" l="1"/>
  <c r="KO5" i="4"/>
  <c r="KM2" i="4"/>
  <c r="KM3" i="4"/>
  <c r="KP5" i="4" l="1"/>
  <c r="KO4" i="4"/>
  <c r="KN2" i="4"/>
  <c r="KN3" i="4"/>
  <c r="KP4" i="4" l="1"/>
  <c r="KQ5" i="4"/>
  <c r="KO2" i="4"/>
  <c r="KO3" i="4"/>
  <c r="KP2" i="4" l="1"/>
  <c r="KP3" i="4"/>
  <c r="KQ4" i="4"/>
  <c r="KR5" i="4"/>
  <c r="KR4" i="4" l="1"/>
  <c r="KS5" i="4"/>
  <c r="KQ2" i="4"/>
  <c r="KQ3" i="4"/>
  <c r="KR2" i="4" l="1"/>
  <c r="KR3" i="4"/>
  <c r="KS4" i="4"/>
  <c r="KT5" i="4"/>
  <c r="KT4" i="4" l="1"/>
  <c r="KU5" i="4"/>
  <c r="KS2" i="4"/>
  <c r="KS3" i="4"/>
  <c r="KU4" i="4" l="1"/>
  <c r="KV5" i="4"/>
  <c r="KT2" i="4"/>
  <c r="KT3" i="4"/>
  <c r="KU3" i="4" l="1"/>
  <c r="KU2" i="4"/>
  <c r="KV4" i="4"/>
  <c r="KW5" i="4"/>
  <c r="KX5" i="4" l="1"/>
  <c r="KW4" i="4"/>
  <c r="KV2" i="4"/>
  <c r="KV3" i="4"/>
  <c r="KW2" i="4" l="1"/>
  <c r="KW3" i="4"/>
  <c r="KX4" i="4"/>
  <c r="KY5" i="4"/>
  <c r="KY4" i="4" l="1"/>
  <c r="KZ5" i="4"/>
  <c r="KX2" i="4"/>
  <c r="KX3" i="4"/>
  <c r="KY3" i="4" l="1"/>
  <c r="KY2" i="4"/>
  <c r="KZ4" i="4"/>
  <c r="LA5" i="4"/>
  <c r="LB5" i="4" l="1"/>
  <c r="LA4" i="4"/>
  <c r="KZ2" i="4"/>
  <c r="KZ3" i="4"/>
  <c r="LB4" i="4" l="1"/>
  <c r="LC5" i="4"/>
  <c r="LA2" i="4"/>
  <c r="LA3" i="4"/>
  <c r="LB2" i="4" l="1"/>
  <c r="LB3" i="4"/>
  <c r="LC4" i="4"/>
  <c r="LD5" i="4"/>
  <c r="LD4" i="4" l="1"/>
  <c r="LE5" i="4"/>
  <c r="LC2" i="4"/>
  <c r="LC3" i="4"/>
  <c r="LF5" i="4" l="1"/>
  <c r="LE4" i="4"/>
  <c r="LD2" i="4"/>
  <c r="LD3" i="4"/>
  <c r="LF4" i="4" l="1"/>
  <c r="LG5" i="4"/>
  <c r="LE2" i="4"/>
  <c r="LE3" i="4"/>
  <c r="LG4" i="4" l="1"/>
  <c r="LH5" i="4"/>
  <c r="LF2" i="4"/>
  <c r="LF3" i="4"/>
  <c r="LG2" i="4" l="1"/>
  <c r="LG3" i="4"/>
  <c r="LH4" i="4"/>
  <c r="LI5" i="4"/>
  <c r="LI4" i="4" l="1"/>
  <c r="LJ5" i="4"/>
  <c r="LH2" i="4"/>
  <c r="LH3" i="4"/>
  <c r="LJ4" i="4" l="1"/>
  <c r="LK5" i="4"/>
  <c r="LI2" i="4"/>
  <c r="LI3" i="4"/>
  <c r="LK4" i="4" l="1"/>
  <c r="LL5" i="4"/>
  <c r="LJ2" i="4"/>
  <c r="LJ3" i="4"/>
  <c r="LL4" i="4" l="1"/>
  <c r="LM5" i="4"/>
  <c r="LK3" i="4"/>
  <c r="LK2" i="4"/>
  <c r="LN5" i="4" l="1"/>
  <c r="LM4" i="4"/>
  <c r="LL2" i="4"/>
  <c r="LL3" i="4"/>
  <c r="LM2" i="4" l="1"/>
  <c r="LM3" i="4"/>
  <c r="LN4" i="4"/>
  <c r="LO5" i="4"/>
  <c r="LO4" i="4" l="1"/>
  <c r="LP5" i="4"/>
  <c r="LN2" i="4"/>
  <c r="LN3" i="4"/>
  <c r="LP4" i="4" l="1"/>
  <c r="LQ5" i="4"/>
  <c r="LO3" i="4"/>
  <c r="LO2" i="4"/>
  <c r="LR5" i="4" l="1"/>
  <c r="LQ4" i="4"/>
  <c r="LP2" i="4"/>
  <c r="LP3" i="4"/>
  <c r="LQ2" i="4" l="1"/>
  <c r="LQ3" i="4"/>
  <c r="LR4" i="4"/>
  <c r="LS5" i="4"/>
  <c r="LR2" i="4" l="1"/>
  <c r="LR3" i="4"/>
  <c r="LS4" i="4"/>
  <c r="LT5" i="4"/>
  <c r="LT4" i="4" l="1"/>
  <c r="LU5" i="4"/>
  <c r="LS2" i="4"/>
  <c r="LS3" i="4"/>
  <c r="LV5" i="4" l="1"/>
  <c r="LU4" i="4"/>
  <c r="LT2" i="4"/>
  <c r="LT3" i="4"/>
  <c r="LU2" i="4" l="1"/>
  <c r="LU3" i="4"/>
  <c r="LV4" i="4"/>
  <c r="LW5" i="4"/>
  <c r="LV2" i="4" l="1"/>
  <c r="LV3" i="4"/>
  <c r="LW4" i="4"/>
  <c r="LX5" i="4"/>
  <c r="LX4" i="4" l="1"/>
  <c r="LY5" i="4"/>
  <c r="LW3" i="4"/>
  <c r="LW2" i="4"/>
  <c r="LY4" i="4" l="1"/>
  <c r="LZ5" i="4"/>
  <c r="LX2" i="4"/>
  <c r="LX3" i="4"/>
  <c r="LZ4" i="4" l="1"/>
  <c r="MA5" i="4"/>
  <c r="LY2" i="4"/>
  <c r="LY3" i="4"/>
  <c r="MA4" i="4" l="1"/>
  <c r="MB5" i="4"/>
  <c r="LZ2" i="4"/>
  <c r="LZ3" i="4"/>
  <c r="MB4" i="4" l="1"/>
  <c r="MC5" i="4"/>
  <c r="MA2" i="4"/>
  <c r="MA3" i="4"/>
  <c r="MD5" i="4" l="1"/>
  <c r="MC4" i="4"/>
  <c r="MB3" i="4"/>
  <c r="MB2" i="4"/>
  <c r="MC2" i="4" l="1"/>
  <c r="MC3" i="4"/>
  <c r="MD4" i="4"/>
  <c r="ME5" i="4"/>
  <c r="ME4" i="4" l="1"/>
  <c r="MF5" i="4"/>
  <c r="MD2" i="4"/>
  <c r="MD3" i="4"/>
  <c r="MF4" i="4" l="1"/>
  <c r="MG5" i="4"/>
  <c r="ME3" i="4"/>
  <c r="ME2" i="4"/>
  <c r="MH5" i="4" l="1"/>
  <c r="MG4" i="4"/>
  <c r="MF2" i="4"/>
  <c r="MF3" i="4"/>
  <c r="MG2" i="4" l="1"/>
  <c r="MG3" i="4"/>
  <c r="MH4" i="4"/>
  <c r="MI5" i="4"/>
  <c r="MI4" i="4" l="1"/>
  <c r="MJ5" i="4"/>
  <c r="MH2" i="4"/>
  <c r="MH3" i="4"/>
  <c r="MJ4" i="4" l="1"/>
  <c r="MK5" i="4"/>
  <c r="MI3" i="4"/>
  <c r="MI2" i="4"/>
  <c r="ML5" i="4" l="1"/>
  <c r="MK4" i="4"/>
  <c r="MJ2" i="4"/>
  <c r="MJ3" i="4"/>
  <c r="MK2" i="4" l="1"/>
  <c r="MK3" i="4"/>
  <c r="ML4" i="4"/>
  <c r="MM5" i="4"/>
  <c r="MM4" i="4" l="1"/>
  <c r="MN5" i="4"/>
  <c r="ML3" i="4"/>
  <c r="ML2" i="4"/>
  <c r="MN4" i="4" l="1"/>
  <c r="MO5" i="4"/>
  <c r="MM3" i="4"/>
  <c r="MM2" i="4"/>
  <c r="MO4" i="4" l="1"/>
  <c r="MP5" i="4"/>
  <c r="MN2" i="4"/>
  <c r="MN3" i="4"/>
  <c r="MP4" i="4" l="1"/>
  <c r="MQ5" i="4"/>
  <c r="MO2" i="4"/>
  <c r="MO3" i="4"/>
  <c r="MQ4" i="4" l="1"/>
  <c r="MR5" i="4"/>
  <c r="MP2" i="4"/>
  <c r="MP3" i="4"/>
  <c r="MR4" i="4" l="1"/>
  <c r="MS5" i="4"/>
  <c r="MQ3" i="4"/>
  <c r="MQ2" i="4"/>
  <c r="MT5" i="4" l="1"/>
  <c r="MS4" i="4"/>
  <c r="MR2" i="4"/>
  <c r="MR3" i="4"/>
  <c r="MS2" i="4" l="1"/>
  <c r="MS3" i="4"/>
  <c r="MT4" i="4"/>
  <c r="MU5" i="4"/>
  <c r="MT3" i="4" l="1"/>
  <c r="MT2" i="4"/>
  <c r="MU4" i="4"/>
  <c r="MV5" i="4"/>
  <c r="MU3" i="4" l="1"/>
  <c r="MU2" i="4"/>
  <c r="MV4" i="4"/>
  <c r="MW5" i="4"/>
  <c r="MV2" i="4" l="1"/>
  <c r="MV3" i="4"/>
  <c r="MX5" i="4"/>
  <c r="MW4" i="4"/>
  <c r="MX4" i="4" l="1"/>
  <c r="MY5" i="4"/>
  <c r="MW2" i="4"/>
  <c r="MW3" i="4"/>
  <c r="MY4" i="4" l="1"/>
  <c r="MZ5" i="4"/>
  <c r="MX2" i="4"/>
  <c r="MX3" i="4"/>
  <c r="MZ4" i="4" l="1"/>
  <c r="NA5" i="4"/>
  <c r="MY3" i="4"/>
  <c r="MY2" i="4"/>
  <c r="C13" i="5" l="1"/>
  <c r="D14" i="5"/>
  <c r="D9" i="5"/>
  <c r="E10" i="5"/>
  <c r="D12" i="5"/>
  <c r="C10" i="5"/>
  <c r="C8" i="5"/>
  <c r="C14" i="5"/>
  <c r="D15" i="5"/>
  <c r="C11" i="5"/>
  <c r="D11" i="5"/>
  <c r="E14" i="5"/>
  <c r="E9" i="5"/>
  <c r="E11" i="5"/>
  <c r="E8" i="5"/>
  <c r="H9" i="5"/>
  <c r="F9" i="5"/>
  <c r="C15" i="5"/>
  <c r="C12" i="5"/>
  <c r="E13" i="5"/>
  <c r="D10" i="5"/>
  <c r="F8" i="5"/>
  <c r="E15" i="5"/>
  <c r="E7" i="5"/>
  <c r="D8" i="5"/>
  <c r="F10" i="5"/>
  <c r="E12" i="5"/>
  <c r="G9" i="5"/>
  <c r="C9" i="5"/>
  <c r="F7" i="5"/>
  <c r="F14" i="5"/>
  <c r="D7" i="5"/>
  <c r="F13" i="5"/>
  <c r="C7" i="5"/>
  <c r="I9" i="5"/>
  <c r="H7" i="5"/>
  <c r="G15" i="5"/>
  <c r="D13" i="5"/>
  <c r="H14" i="5"/>
  <c r="F12" i="5"/>
  <c r="H11" i="5"/>
  <c r="H12" i="5"/>
  <c r="G8" i="5"/>
  <c r="I10" i="5"/>
  <c r="F11" i="5"/>
  <c r="G13" i="5"/>
  <c r="G11" i="5"/>
  <c r="I11" i="5"/>
  <c r="H10" i="5"/>
  <c r="G10" i="5"/>
  <c r="I13" i="5"/>
  <c r="G14" i="5"/>
  <c r="H13" i="5"/>
  <c r="H15" i="5"/>
  <c r="F15" i="5"/>
  <c r="I7" i="5"/>
  <c r="G12" i="5"/>
  <c r="H8" i="5"/>
  <c r="G7" i="5"/>
  <c r="I12" i="5"/>
  <c r="I8" i="5"/>
  <c r="I14" i="5"/>
  <c r="NA4" i="4"/>
  <c r="NA2" i="4" s="1"/>
  <c r="I15" i="5"/>
  <c r="MZ2" i="4"/>
  <c r="MZ3" i="4"/>
  <c r="NA3" i="4" l="1"/>
  <c r="A9" i="3"/>
  <c r="I9" i="3" s="1"/>
  <c r="J9" i="3" s="1"/>
  <c r="C9" i="3"/>
  <c r="A10" i="3"/>
  <c r="I10" i="3" s="1"/>
  <c r="J10" i="3" s="1"/>
  <c r="C10" i="3"/>
  <c r="A11" i="3"/>
  <c r="I11" i="3" s="1"/>
  <c r="J11" i="3" s="1"/>
  <c r="C11" i="3"/>
  <c r="A12" i="3"/>
  <c r="I12" i="3" s="1"/>
  <c r="J12" i="3" s="1"/>
  <c r="C12" i="3"/>
  <c r="A13" i="3"/>
  <c r="I13" i="3" s="1"/>
  <c r="J13" i="3" s="1"/>
  <c r="C13" i="3"/>
  <c r="A14" i="3"/>
  <c r="I14" i="3" s="1"/>
  <c r="J14" i="3" s="1"/>
  <c r="C14" i="3"/>
  <c r="A15" i="3"/>
  <c r="I15" i="3" s="1"/>
  <c r="J15" i="3" s="1"/>
  <c r="C15" i="3"/>
  <c r="A16" i="3"/>
  <c r="I16" i="3" s="1"/>
  <c r="J16" i="3" s="1"/>
  <c r="C16" i="3"/>
  <c r="A17" i="3"/>
  <c r="I17" i="3" s="1"/>
  <c r="J17" i="3" s="1"/>
  <c r="C17" i="3"/>
  <c r="A18" i="3"/>
  <c r="I18" i="3" s="1"/>
  <c r="J18" i="3" s="1"/>
  <c r="C18" i="3"/>
  <c r="A19" i="3"/>
  <c r="I19" i="3" s="1"/>
  <c r="J19" i="3" s="1"/>
  <c r="C19" i="3"/>
  <c r="A20" i="3"/>
  <c r="I20" i="3" s="1"/>
  <c r="J20" i="3" s="1"/>
  <c r="C20" i="3"/>
  <c r="A21" i="3"/>
  <c r="I21" i="3" s="1"/>
  <c r="J21" i="3" s="1"/>
  <c r="C21" i="3"/>
  <c r="A22" i="3"/>
  <c r="I22" i="3" s="1"/>
  <c r="J22" i="3" s="1"/>
  <c r="C22" i="3"/>
  <c r="A23" i="3"/>
  <c r="I23" i="3" s="1"/>
  <c r="J23" i="3" s="1"/>
  <c r="C23" i="3"/>
  <c r="A24" i="3"/>
  <c r="I24" i="3" s="1"/>
  <c r="J24" i="3" s="1"/>
  <c r="C24" i="3"/>
  <c r="A25" i="3"/>
  <c r="I25" i="3" s="1"/>
  <c r="J25" i="3" s="1"/>
  <c r="C25" i="3"/>
  <c r="A26" i="3"/>
  <c r="I26" i="3" s="1"/>
  <c r="J26" i="3" s="1"/>
  <c r="C26" i="3"/>
  <c r="A27" i="3"/>
  <c r="I27" i="3" s="1"/>
  <c r="J27" i="3" s="1"/>
  <c r="C27" i="3"/>
  <c r="A28" i="3"/>
  <c r="I28" i="3" s="1"/>
  <c r="J28" i="3" s="1"/>
  <c r="C28" i="3"/>
  <c r="A29" i="3"/>
  <c r="I29" i="3" s="1"/>
  <c r="J29" i="3" s="1"/>
  <c r="C29" i="3"/>
  <c r="A30" i="3"/>
  <c r="I30" i="3" s="1"/>
  <c r="J30" i="3" s="1"/>
  <c r="C30" i="3"/>
  <c r="A31" i="3"/>
  <c r="I31" i="3" s="1"/>
  <c r="J31" i="3" s="1"/>
  <c r="C31" i="3"/>
  <c r="A32" i="3"/>
  <c r="I32" i="3" s="1"/>
  <c r="J32" i="3" s="1"/>
  <c r="C32" i="3"/>
  <c r="A33" i="3"/>
  <c r="I33" i="3" s="1"/>
  <c r="J33" i="3" s="1"/>
  <c r="C33" i="3"/>
  <c r="A34" i="3"/>
  <c r="I34" i="3" s="1"/>
  <c r="J34" i="3" s="1"/>
  <c r="C34" i="3"/>
  <c r="A35" i="3"/>
  <c r="I35" i="3" s="1"/>
  <c r="J35" i="3" s="1"/>
  <c r="C35" i="3"/>
  <c r="A36" i="3"/>
  <c r="I36" i="3" s="1"/>
  <c r="J36" i="3" s="1"/>
  <c r="C36" i="3"/>
  <c r="A37" i="3"/>
  <c r="I37" i="3" s="1"/>
  <c r="J37" i="3" s="1"/>
  <c r="C37" i="3"/>
  <c r="A38" i="3"/>
  <c r="I38" i="3" s="1"/>
  <c r="J38" i="3" s="1"/>
  <c r="C38" i="3"/>
  <c r="A39" i="3"/>
  <c r="I39" i="3" s="1"/>
  <c r="J39" i="3" s="1"/>
  <c r="C39" i="3"/>
  <c r="A40" i="3"/>
  <c r="I40" i="3" s="1"/>
  <c r="J40" i="3" s="1"/>
  <c r="C40" i="3"/>
  <c r="A41" i="3"/>
  <c r="I41" i="3" s="1"/>
  <c r="J41" i="3" s="1"/>
  <c r="C41" i="3"/>
  <c r="A42" i="3"/>
  <c r="I42" i="3" s="1"/>
  <c r="J42" i="3" s="1"/>
  <c r="C42" i="3"/>
  <c r="A43" i="3"/>
  <c r="I43" i="3" s="1"/>
  <c r="J43" i="3" s="1"/>
  <c r="C43" i="3"/>
  <c r="A44" i="3"/>
  <c r="I44" i="3" s="1"/>
  <c r="J44" i="3" s="1"/>
  <c r="C44" i="3"/>
  <c r="A45" i="3"/>
  <c r="I45" i="3" s="1"/>
  <c r="J45" i="3" s="1"/>
  <c r="C45" i="3"/>
  <c r="A46" i="3"/>
  <c r="I46" i="3" s="1"/>
  <c r="J46" i="3" s="1"/>
  <c r="C46" i="3"/>
  <c r="A47" i="3"/>
  <c r="I47" i="3" s="1"/>
  <c r="J47" i="3" s="1"/>
  <c r="C47" i="3"/>
  <c r="A48" i="3"/>
  <c r="I48" i="3" s="1"/>
  <c r="J48" i="3" s="1"/>
  <c r="C48" i="3"/>
  <c r="A49" i="3"/>
  <c r="I49" i="3" s="1"/>
  <c r="J49" i="3" s="1"/>
  <c r="C49" i="3"/>
  <c r="A50" i="3"/>
  <c r="I50" i="3" s="1"/>
  <c r="J50" i="3" s="1"/>
  <c r="C50" i="3"/>
  <c r="A51" i="3"/>
  <c r="I51" i="3" s="1"/>
  <c r="J51" i="3" s="1"/>
  <c r="C51" i="3"/>
  <c r="A52" i="3"/>
  <c r="I52" i="3" s="1"/>
  <c r="J52" i="3" s="1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J90" i="3" l="1"/>
  <c r="I90" i="3"/>
  <c r="I88" i="3"/>
  <c r="J88" i="3"/>
  <c r="J86" i="3"/>
  <c r="I86" i="3"/>
  <c r="I84" i="3"/>
  <c r="J84" i="3"/>
  <c r="J82" i="3"/>
  <c r="I82" i="3"/>
  <c r="I80" i="3"/>
  <c r="J80" i="3"/>
  <c r="J78" i="3"/>
  <c r="I78" i="3"/>
  <c r="I76" i="3"/>
  <c r="J76" i="3"/>
  <c r="J74" i="3"/>
  <c r="I74" i="3"/>
  <c r="I72" i="3"/>
  <c r="J72" i="3"/>
  <c r="J70" i="3"/>
  <c r="I70" i="3"/>
  <c r="I68" i="3"/>
  <c r="J68" i="3"/>
  <c r="J66" i="3"/>
  <c r="I66" i="3"/>
  <c r="I64" i="3"/>
  <c r="J64" i="3"/>
  <c r="J62" i="3"/>
  <c r="I62" i="3"/>
  <c r="I60" i="3"/>
  <c r="J60" i="3"/>
  <c r="J58" i="3"/>
  <c r="I58" i="3"/>
  <c r="I56" i="3"/>
  <c r="J56" i="3"/>
  <c r="J54" i="3"/>
  <c r="I54" i="3"/>
  <c r="J89" i="3"/>
  <c r="I89" i="3"/>
  <c r="I87" i="3"/>
  <c r="J87" i="3"/>
  <c r="J85" i="3"/>
  <c r="I85" i="3"/>
  <c r="I83" i="3"/>
  <c r="J83" i="3"/>
  <c r="J81" i="3"/>
  <c r="I81" i="3"/>
  <c r="I79" i="3"/>
  <c r="J79" i="3"/>
  <c r="I77" i="3"/>
  <c r="J77" i="3"/>
  <c r="I75" i="3"/>
  <c r="J75" i="3"/>
  <c r="J73" i="3"/>
  <c r="I73" i="3"/>
  <c r="I71" i="3"/>
  <c r="J71" i="3"/>
  <c r="I69" i="3"/>
  <c r="J69" i="3"/>
  <c r="I67" i="3"/>
  <c r="J67" i="3"/>
  <c r="J65" i="3"/>
  <c r="I65" i="3"/>
  <c r="I63" i="3"/>
  <c r="J63" i="3"/>
  <c r="J61" i="3"/>
  <c r="I61" i="3"/>
  <c r="I59" i="3"/>
  <c r="J59" i="3"/>
  <c r="I57" i="3"/>
  <c r="J57" i="3"/>
  <c r="I55" i="3"/>
  <c r="J55" i="3"/>
  <c r="I53" i="3"/>
  <c r="J53" i="3" s="1"/>
  <c r="C3" i="3"/>
  <c r="C4" i="3"/>
  <c r="C5" i="3"/>
  <c r="C6" i="3"/>
  <c r="C7" i="3"/>
  <c r="C8" i="3"/>
  <c r="C2" i="3"/>
  <c r="A3" i="3"/>
  <c r="I3" i="3" s="1"/>
  <c r="J3" i="3" s="1"/>
  <c r="A4" i="3"/>
  <c r="I4" i="3" s="1"/>
  <c r="J4" i="3" s="1"/>
  <c r="A5" i="3"/>
  <c r="I5" i="3" s="1"/>
  <c r="J5" i="3" s="1"/>
  <c r="A6" i="3"/>
  <c r="I6" i="3" s="1"/>
  <c r="J6" i="3" s="1"/>
  <c r="A7" i="3"/>
  <c r="I7" i="3" s="1"/>
  <c r="J7" i="3" s="1"/>
  <c r="A8" i="3"/>
  <c r="I8" i="3" s="1"/>
  <c r="J8" i="3" s="1"/>
  <c r="A2" i="3"/>
  <c r="I2" i="3" s="1"/>
  <c r="J2" i="3" s="1"/>
  <c r="B19" i="2"/>
  <c r="B18" i="2"/>
  <c r="F2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E1" i="2"/>
  <c r="E2" i="2" s="1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B1" i="2"/>
  <c r="B15" i="2" l="1"/>
  <c r="C1" i="2"/>
  <c r="G1" i="2"/>
  <c r="G2" i="2" s="1"/>
  <c r="G3" i="2" s="1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B2" i="2"/>
  <c r="B4" i="2"/>
  <c r="B6" i="2"/>
  <c r="B10" i="2"/>
  <c r="B11" i="2"/>
  <c r="B12" i="2"/>
  <c r="B13" i="2" s="1"/>
  <c r="B14" i="2" s="1"/>
  <c r="C2" i="2" l="1"/>
  <c r="C6" i="2"/>
  <c r="C4" i="2"/>
  <c r="C11" i="2"/>
  <c r="C12" i="2"/>
  <c r="C13" i="2" s="1"/>
  <c r="C14" i="2" s="1"/>
  <c r="C15" i="2"/>
  <c r="C10" i="2"/>
  <c r="B8" i="2"/>
  <c r="B9" i="2" s="1"/>
  <c r="B7" i="2"/>
  <c r="B5" i="2"/>
  <c r="B3" i="2"/>
  <c r="C8" i="2" l="1"/>
  <c r="C9" i="2" s="1"/>
  <c r="C7" i="2"/>
  <c r="C3" i="2"/>
  <c r="C5" i="2"/>
</calcChain>
</file>

<file path=xl/sharedStrings.xml><?xml version="1.0" encoding="utf-8"?>
<sst xmlns="http://schemas.openxmlformats.org/spreadsheetml/2006/main" count="635" uniqueCount="507">
  <si>
    <t>Lehrgangsbeginn</t>
  </si>
  <si>
    <t>Lehrgangsende</t>
  </si>
  <si>
    <t>Als Lehrgangsbeginn muss ein Montag gewählt werden!</t>
  </si>
  <si>
    <t>Neujahr:</t>
  </si>
  <si>
    <t>Karfreitag:</t>
  </si>
  <si>
    <t>Ostersonntag:</t>
  </si>
  <si>
    <t>Ostermontag:</t>
  </si>
  <si>
    <t>Tag der Arbeit</t>
  </si>
  <si>
    <t>Himmelfahrt</t>
  </si>
  <si>
    <t>Pfingstsonntag</t>
  </si>
  <si>
    <t>Pfingstmontag</t>
  </si>
  <si>
    <t>Tag der deutschen Einheit</t>
  </si>
  <si>
    <t>Reformationstag</t>
  </si>
  <si>
    <t>Heiligabend</t>
  </si>
  <si>
    <t>1. Weihnachtsfeiertag</t>
  </si>
  <si>
    <t>2. Weihnachtsfeiertag</t>
  </si>
  <si>
    <t>Silvester</t>
  </si>
  <si>
    <t>Letzter Montag</t>
  </si>
  <si>
    <t>Abschn.-Nr.</t>
  </si>
  <si>
    <t>Abschn.-Bez.</t>
  </si>
  <si>
    <t>Allgemein</t>
  </si>
  <si>
    <t>Wachdienst Allgemein</t>
  </si>
  <si>
    <t>Technik</t>
  </si>
  <si>
    <t>Seemännischer Dienst</t>
  </si>
  <si>
    <t>Nautik</t>
  </si>
  <si>
    <t>Sonstige Dienste</t>
  </si>
  <si>
    <t>DG</t>
  </si>
  <si>
    <t>Name</t>
  </si>
  <si>
    <t>Farbe</t>
  </si>
  <si>
    <t>Std.-Bel.</t>
  </si>
  <si>
    <t>LT</t>
  </si>
  <si>
    <t>FK</t>
  </si>
  <si>
    <t>KK</t>
  </si>
  <si>
    <t>KL</t>
  </si>
  <si>
    <t>HB</t>
  </si>
  <si>
    <t>OB</t>
  </si>
  <si>
    <t>OMt</t>
  </si>
  <si>
    <t>Herr</t>
  </si>
  <si>
    <t>SB</t>
  </si>
  <si>
    <t>UE-Nr.</t>
  </si>
  <si>
    <t>Std.-Bez.</t>
  </si>
  <si>
    <t>Extern</t>
  </si>
  <si>
    <t>Std.-Ansatz</t>
  </si>
  <si>
    <t>TFL</t>
  </si>
  <si>
    <t>Std.-Inhalt</t>
  </si>
  <si>
    <t>Std.-Bemerkung</t>
  </si>
  <si>
    <t>Erholungsurlaub</t>
  </si>
  <si>
    <t>Nein</t>
  </si>
  <si>
    <t>Ja</t>
  </si>
  <si>
    <t>Std.-Nr.
(10-99)</t>
  </si>
  <si>
    <t>Unterrichtswoche</t>
  </si>
  <si>
    <t>Kalenderwoche</t>
  </si>
  <si>
    <t>Wochentag</t>
  </si>
  <si>
    <t>Datum</t>
  </si>
  <si>
    <t>07:15 - 08:00</t>
  </si>
  <si>
    <t>08:00 - 08:45</t>
  </si>
  <si>
    <t>08:50 - 09:35</t>
  </si>
  <si>
    <t>10:00 - 10:45</t>
  </si>
  <si>
    <t>10:45 - 11:30</t>
  </si>
  <si>
    <t>12:45 - 13:30</t>
  </si>
  <si>
    <t>13:30 - 14:15</t>
  </si>
  <si>
    <t>14:20 - 15:05</t>
  </si>
  <si>
    <t>15:05 - 15:50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</si>
  <si>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</si>
  <si>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</si>
  <si>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</si>
  <si>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</si>
  <si>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</si>
  <si>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</si>
  <si>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</si>
  <si>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</si>
  <si>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</si>
  <si>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</si>
  <si>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</si>
  <si>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</si>
  <si>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</si>
  <si>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</si>
  <si>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</si>
  <si>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Spalte16</t>
  </si>
  <si>
    <t>Spalte17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</si>
  <si>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</si>
  <si>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</si>
  <si>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</si>
  <si>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</si>
  <si>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</si>
  <si>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</si>
  <si>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</si>
  <si>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</si>
  <si>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</si>
  <si>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</si>
  <si>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</si>
  <si>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</si>
  <si>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</si>
  <si>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</si>
  <si>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</si>
  <si>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</si>
  <si>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</si>
  <si>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</si>
  <si>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</si>
  <si>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</si>
  <si>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</si>
  <si>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</si>
  <si>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</si>
  <si>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</si>
  <si>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</si>
  <si>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</si>
  <si>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</si>
  <si>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Spalte45</t>
  </si>
  <si>
    <t>Spalte46</t>
  </si>
  <si>
    <t>Spalte47</t>
  </si>
  <si>
    <t>Spalte48</t>
  </si>
  <si>
    <t>Spalte49</t>
  </si>
  <si>
    <t>Spalte50</t>
  </si>
  <si>
    <t>Spalte51</t>
  </si>
  <si>
    <t>Spalte52</t>
  </si>
  <si>
    <t>Spalte53</t>
  </si>
  <si>
    <t>Spalte54</t>
  </si>
  <si>
    <t>Spalte55</t>
  </si>
  <si>
    <t>Spalte56</t>
  </si>
  <si>
    <t>Spalte57</t>
  </si>
  <si>
    <t>Spalte58</t>
  </si>
  <si>
    <t>Spalte59</t>
  </si>
  <si>
    <t>Spalte60</t>
  </si>
  <si>
    <t>Spalte61</t>
  </si>
  <si>
    <t>Spalte62</t>
  </si>
  <si>
    <t>Spalte63</t>
  </si>
  <si>
    <t>Spalte64</t>
  </si>
  <si>
    <t>Spalte65</t>
  </si>
  <si>
    <t>Spalte66</t>
  </si>
  <si>
    <t>Spalte67</t>
  </si>
  <si>
    <t>Spalte68</t>
  </si>
  <si>
    <t>Spalte69</t>
  </si>
  <si>
    <t>Spalte70</t>
  </si>
  <si>
    <t>Spalte71</t>
  </si>
  <si>
    <t>Spalte72</t>
  </si>
  <si>
    <t>Spalte73</t>
  </si>
  <si>
    <t>Spalte74</t>
  </si>
  <si>
    <t>Spalte75</t>
  </si>
  <si>
    <t>Spalte76</t>
  </si>
  <si>
    <t>Spalte77</t>
  </si>
  <si>
    <t>Spalte78</t>
  </si>
  <si>
    <t>Spalte79</t>
  </si>
  <si>
    <t>Spalte80</t>
  </si>
  <si>
    <t>Spalte81</t>
  </si>
  <si>
    <t>Spalte82</t>
  </si>
  <si>
    <t>Spalte83</t>
  </si>
  <si>
    <t>Spalte84</t>
  </si>
  <si>
    <t>Spalte85</t>
  </si>
  <si>
    <t>Spalte86</t>
  </si>
  <si>
    <t>Spalte87</t>
  </si>
  <si>
    <t>Spalte88</t>
  </si>
  <si>
    <t>Spalte89</t>
  </si>
  <si>
    <t>Spalte90</t>
  </si>
  <si>
    <t>Spalte91</t>
  </si>
  <si>
    <t>Spalte92</t>
  </si>
  <si>
    <t>Spalte93</t>
  </si>
  <si>
    <t>Spalte94</t>
  </si>
  <si>
    <t>Spalte95</t>
  </si>
  <si>
    <t>Spalte96</t>
  </si>
  <si>
    <t>Spalte97</t>
  </si>
  <si>
    <t>Spalte98</t>
  </si>
  <si>
    <t>Spalte99</t>
  </si>
  <si>
    <t>Spalte100</t>
  </si>
  <si>
    <t>Spalte101</t>
  </si>
  <si>
    <t>Spalte102</t>
  </si>
  <si>
    <t>Spalte103</t>
  </si>
  <si>
    <t>Spalte104</t>
  </si>
  <si>
    <t>Spalte105</t>
  </si>
  <si>
    <t>Spalte106</t>
  </si>
  <si>
    <t>Spalte107</t>
  </si>
  <si>
    <t>Spalte108</t>
  </si>
  <si>
    <t>Spalte109</t>
  </si>
  <si>
    <t>Spalte110</t>
  </si>
  <si>
    <t>Spalte111</t>
  </si>
  <si>
    <t>Spalte112</t>
  </si>
  <si>
    <t>Spalte113</t>
  </si>
  <si>
    <t>Spalte114</t>
  </si>
  <si>
    <t>Spalte115</t>
  </si>
  <si>
    <t>Spalte116</t>
  </si>
  <si>
    <t>Spalte117</t>
  </si>
  <si>
    <t>Spalte118</t>
  </si>
  <si>
    <t>Spalte119</t>
  </si>
  <si>
    <t>Spalte120</t>
  </si>
  <si>
    <t>Spalte121</t>
  </si>
  <si>
    <t>Spalte122</t>
  </si>
  <si>
    <t>Spalte123</t>
  </si>
  <si>
    <t>Spalte124</t>
  </si>
  <si>
    <t>Spalte125</t>
  </si>
  <si>
    <t>Spalte126</t>
  </si>
  <si>
    <t>Spalte127</t>
  </si>
  <si>
    <t>Spalte128</t>
  </si>
  <si>
    <t>Spalte129</t>
  </si>
  <si>
    <t>Spalte130</t>
  </si>
  <si>
    <t>Spalte131</t>
  </si>
  <si>
    <t>Spalte132</t>
  </si>
  <si>
    <t>Spalte133</t>
  </si>
  <si>
    <t>Spalte134</t>
  </si>
  <si>
    <t>Spalte135</t>
  </si>
  <si>
    <t>Spalte136</t>
  </si>
  <si>
    <t>Spalte137</t>
  </si>
  <si>
    <t>Spalte138</t>
  </si>
  <si>
    <t>Spalte139</t>
  </si>
  <si>
    <t>Spalte140</t>
  </si>
  <si>
    <t>Spalte141</t>
  </si>
  <si>
    <t>Spalte142</t>
  </si>
  <si>
    <t>Spalte143</t>
  </si>
  <si>
    <t>Spalte144</t>
  </si>
  <si>
    <t>Spalte145</t>
  </si>
  <si>
    <t>Spalte146</t>
  </si>
  <si>
    <t>Spalte147</t>
  </si>
  <si>
    <t>Spalte148</t>
  </si>
  <si>
    <t>Spalte149</t>
  </si>
  <si>
    <t>Spalte150</t>
  </si>
  <si>
    <t>Spalte151</t>
  </si>
  <si>
    <t>Spalte152</t>
  </si>
  <si>
    <t>Spalte153</t>
  </si>
  <si>
    <t>Spalte154</t>
  </si>
  <si>
    <t>Spalte155</t>
  </si>
  <si>
    <t>Spalte156</t>
  </si>
  <si>
    <t>Spalte157</t>
  </si>
  <si>
    <t>Spalte158</t>
  </si>
  <si>
    <t>Spalte159</t>
  </si>
  <si>
    <t>Spalte160</t>
  </si>
  <si>
    <t>Spalte161</t>
  </si>
  <si>
    <t>Spalte162</t>
  </si>
  <si>
    <t>Spalte163</t>
  </si>
  <si>
    <t>Spalte164</t>
  </si>
  <si>
    <t>Spalte165</t>
  </si>
  <si>
    <t>Spalte166</t>
  </si>
  <si>
    <t>Spalte167</t>
  </si>
  <si>
    <t>Spalte168</t>
  </si>
  <si>
    <t>Spalte169</t>
  </si>
  <si>
    <t>Spalte170</t>
  </si>
  <si>
    <t>Spalte171</t>
  </si>
  <si>
    <t>Spalte172</t>
  </si>
  <si>
    <t>Spalte173</t>
  </si>
  <si>
    <t>Spalte174</t>
  </si>
  <si>
    <t>Spalte175</t>
  </si>
  <si>
    <t>Spalte176</t>
  </si>
  <si>
    <t>Spalte177</t>
  </si>
  <si>
    <t>Spalte178</t>
  </si>
  <si>
    <t>Spalte179</t>
  </si>
  <si>
    <t>Spalte180</t>
  </si>
  <si>
    <t>Spalte181</t>
  </si>
  <si>
    <t>Spalte182</t>
  </si>
  <si>
    <t>Spalte183</t>
  </si>
  <si>
    <t>Spalte184</t>
  </si>
  <si>
    <t>Spalte185</t>
  </si>
  <si>
    <t>Spalte186</t>
  </si>
  <si>
    <t>Spalte187</t>
  </si>
  <si>
    <t>Spalte188</t>
  </si>
  <si>
    <t>Spalte189</t>
  </si>
  <si>
    <t>Spalte190</t>
  </si>
  <si>
    <t>Spalte191</t>
  </si>
  <si>
    <t>Spalte192</t>
  </si>
  <si>
    <t>Spalte193</t>
  </si>
  <si>
    <t>Spalte194</t>
  </si>
  <si>
    <t>Spalte195</t>
  </si>
  <si>
    <t>Spalte196</t>
  </si>
  <si>
    <t>Spalte197</t>
  </si>
  <si>
    <t>Spalte198</t>
  </si>
  <si>
    <t>Spalte199</t>
  </si>
  <si>
    <t>Spalte200</t>
  </si>
  <si>
    <t>Spalte201</t>
  </si>
  <si>
    <t>Spalte202</t>
  </si>
  <si>
    <t>Spalte203</t>
  </si>
  <si>
    <t>Spalte204</t>
  </si>
  <si>
    <t>Spalte205</t>
  </si>
  <si>
    <t>Spalte206</t>
  </si>
  <si>
    <t>Spalte207</t>
  </si>
  <si>
    <t>Spalte208</t>
  </si>
  <si>
    <t>Spalte209</t>
  </si>
  <si>
    <t>Spalte210</t>
  </si>
  <si>
    <t>Spalte211</t>
  </si>
  <si>
    <t>Spalte212</t>
  </si>
  <si>
    <t>Spalte213</t>
  </si>
  <si>
    <t>Spalte214</t>
  </si>
  <si>
    <t>Spalte215</t>
  </si>
  <si>
    <t>Spalte216</t>
  </si>
  <si>
    <t>Spalte217</t>
  </si>
  <si>
    <t>Spalte218</t>
  </si>
  <si>
    <t>Spalte219</t>
  </si>
  <si>
    <t>Spalte220</t>
  </si>
  <si>
    <t>Spalte221</t>
  </si>
  <si>
    <t>Spalte222</t>
  </si>
  <si>
    <t>Spalte223</t>
  </si>
  <si>
    <t>Spalte224</t>
  </si>
  <si>
    <t>Spalte225</t>
  </si>
  <si>
    <t>Spalte226</t>
  </si>
  <si>
    <t>Spalte227</t>
  </si>
  <si>
    <t>Spalte228</t>
  </si>
  <si>
    <t>Spalte229</t>
  </si>
  <si>
    <t>Spalte230</t>
  </si>
  <si>
    <t>Spalte231</t>
  </si>
  <si>
    <t>Spalte232</t>
  </si>
  <si>
    <t>Spalte233</t>
  </si>
  <si>
    <t>Spalte234</t>
  </si>
  <si>
    <t>Spalte235</t>
  </si>
  <si>
    <t>Spalte236</t>
  </si>
  <si>
    <t>Spalte237</t>
  </si>
  <si>
    <t>Spalte238</t>
  </si>
  <si>
    <t>Spalte239</t>
  </si>
  <si>
    <t>Spalte240</t>
  </si>
  <si>
    <t>Spalte241</t>
  </si>
  <si>
    <t>Spalte242</t>
  </si>
  <si>
    <t>Spalte243</t>
  </si>
  <si>
    <t>Spalte244</t>
  </si>
  <si>
    <t>Spalte245</t>
  </si>
  <si>
    <t>Spalte246</t>
  </si>
  <si>
    <t>Spalte247</t>
  </si>
  <si>
    <t>Spalte248</t>
  </si>
  <si>
    <t>Spalte249</t>
  </si>
  <si>
    <t>Spalte250</t>
  </si>
  <si>
    <t>Spalte251</t>
  </si>
  <si>
    <t>Spalte252</t>
  </si>
  <si>
    <t>Spalte253</t>
  </si>
  <si>
    <t>Spalte254</t>
  </si>
  <si>
    <t>Spalte255</t>
  </si>
  <si>
    <t>Spalte256</t>
  </si>
  <si>
    <t>Spalte257</t>
  </si>
  <si>
    <t>Spalte258</t>
  </si>
  <si>
    <t>Spalte259</t>
  </si>
  <si>
    <t>Spalte260</t>
  </si>
  <si>
    <t>Spalte261</t>
  </si>
  <si>
    <t>Spalte262</t>
  </si>
  <si>
    <t>Spalte263</t>
  </si>
  <si>
    <t>Spalte264</t>
  </si>
  <si>
    <t>Spalte265</t>
  </si>
  <si>
    <t>Spalte266</t>
  </si>
  <si>
    <t>Spalte267</t>
  </si>
  <si>
    <t>Spalte268</t>
  </si>
  <si>
    <t>Spalte269</t>
  </si>
  <si>
    <t>Spalte270</t>
  </si>
  <si>
    <t>Spalte271</t>
  </si>
  <si>
    <t>Spalte272</t>
  </si>
  <si>
    <t>Spalte273</t>
  </si>
  <si>
    <t>Spalte274</t>
  </si>
  <si>
    <t>Spalte275</t>
  </si>
  <si>
    <t>Spalte276</t>
  </si>
  <si>
    <t>Spalte277</t>
  </si>
  <si>
    <t>Spalte278</t>
  </si>
  <si>
    <t>Spalte279</t>
  </si>
  <si>
    <t>Spalte280</t>
  </si>
  <si>
    <t>Spalte281</t>
  </si>
  <si>
    <t>Spalte282</t>
  </si>
  <si>
    <t>Spalte283</t>
  </si>
  <si>
    <t>Spalte284</t>
  </si>
  <si>
    <t>Spalte285</t>
  </si>
  <si>
    <t>Spalte286</t>
  </si>
  <si>
    <t>Spalte287</t>
  </si>
  <si>
    <t>Spalte288</t>
  </si>
  <si>
    <t>Spalte289</t>
  </si>
  <si>
    <t>Spalte290</t>
  </si>
  <si>
    <t>Spalte291</t>
  </si>
  <si>
    <t>Spalte292</t>
  </si>
  <si>
    <t>Spalte293</t>
  </si>
  <si>
    <t>Spalte294</t>
  </si>
  <si>
    <t>Spalte295</t>
  </si>
  <si>
    <t>Spalte296</t>
  </si>
  <si>
    <t>Spalte297</t>
  </si>
  <si>
    <t>Spalte298</t>
  </si>
  <si>
    <t>Spalte299</t>
  </si>
  <si>
    <t>Spalte300</t>
  </si>
  <si>
    <t>Spalte301</t>
  </si>
  <si>
    <t>Spalte302</t>
  </si>
  <si>
    <t>Spalte303</t>
  </si>
  <si>
    <t>Spalte304</t>
  </si>
  <si>
    <t>Spalte305</t>
  </si>
  <si>
    <t>Spalte306</t>
  </si>
  <si>
    <t>Spalte307</t>
  </si>
  <si>
    <t>Spalte308</t>
  </si>
  <si>
    <t>Spalte309</t>
  </si>
  <si>
    <t>Spalte310</t>
  </si>
  <si>
    <t>Spalte311</t>
  </si>
  <si>
    <t>Spalte312</t>
  </si>
  <si>
    <t>Spalte313</t>
  </si>
  <si>
    <t>Spalte314</t>
  </si>
  <si>
    <t>Spalte315</t>
  </si>
  <si>
    <t>Spalte316</t>
  </si>
  <si>
    <t>Spalte317</t>
  </si>
  <si>
    <t>Spalte318</t>
  </si>
  <si>
    <t>Spalte319</t>
  </si>
  <si>
    <t>Spalte320</t>
  </si>
  <si>
    <t>Spalte321</t>
  </si>
  <si>
    <t>Spalte322</t>
  </si>
  <si>
    <t>Spalte323</t>
  </si>
  <si>
    <t>Spalte324</t>
  </si>
  <si>
    <t>Spalte325</t>
  </si>
  <si>
    <t>Spalte326</t>
  </si>
  <si>
    <t>Spalte327</t>
  </si>
  <si>
    <t>Spalte328</t>
  </si>
  <si>
    <t>Spalte329</t>
  </si>
  <si>
    <t>Spalte330</t>
  </si>
  <si>
    <t>Spalte331</t>
  </si>
  <si>
    <t>Spalte332</t>
  </si>
  <si>
    <t>Spalte333</t>
  </si>
  <si>
    <t>Spalte334</t>
  </si>
  <si>
    <t>Spalte335</t>
  </si>
  <si>
    <t>Spalte336</t>
  </si>
  <si>
    <t>Spalte337</t>
  </si>
  <si>
    <t>Spalte338</t>
  </si>
  <si>
    <t>Spalte339</t>
  </si>
  <si>
    <t>Spalte340</t>
  </si>
  <si>
    <t>Spalte341</t>
  </si>
  <si>
    <t>Spalte342</t>
  </si>
  <si>
    <t>Spalte343</t>
  </si>
  <si>
    <t>Spalte344</t>
  </si>
  <si>
    <t>Spalte345</t>
  </si>
  <si>
    <t>Spalte346</t>
  </si>
  <si>
    <t>Spalte347</t>
  </si>
  <si>
    <t>Spalte348</t>
  </si>
  <si>
    <t>Spalte349</t>
  </si>
  <si>
    <t>Spalte350</t>
  </si>
  <si>
    <t>Spalte351</t>
  </si>
  <si>
    <t>Spalte352</t>
  </si>
  <si>
    <t>Spalte353</t>
  </si>
  <si>
    <t>Spalte354</t>
  </si>
  <si>
    <t>Spalte355</t>
  </si>
  <si>
    <t>Spalte356</t>
  </si>
  <si>
    <t>Spalte357</t>
  </si>
  <si>
    <t>Spalte358</t>
  </si>
  <si>
    <t>Spalte359</t>
  </si>
  <si>
    <t>Spalte360</t>
  </si>
  <si>
    <t>Spalte361</t>
  </si>
  <si>
    <t>Spalte362</t>
  </si>
  <si>
    <t>Spalte363</t>
  </si>
  <si>
    <t>Spalte364</t>
  </si>
  <si>
    <t>Spalte365</t>
  </si>
  <si>
    <t>Std. Verplant</t>
  </si>
  <si>
    <t>Std. Offen</t>
  </si>
  <si>
    <t>Lehrer1</t>
  </si>
  <si>
    <t>Lehrer2</t>
  </si>
  <si>
    <t>Lehrer3</t>
  </si>
  <si>
    <t>Lehrer4</t>
  </si>
  <si>
    <t>Lehrer5</t>
  </si>
  <si>
    <t>Lehrer6</t>
  </si>
  <si>
    <t>Lehrer7</t>
  </si>
  <si>
    <t>Lehrer8</t>
  </si>
  <si>
    <t>Lehrer9</t>
  </si>
  <si>
    <t>Lehrer10</t>
  </si>
  <si>
    <t>Lehrer11</t>
  </si>
  <si>
    <t>Lehrer12</t>
  </si>
  <si>
    <t>Lehrer13</t>
  </si>
  <si>
    <t>Lehrer14</t>
  </si>
  <si>
    <t>Lehrer15</t>
  </si>
  <si>
    <t>Lehrer16</t>
  </si>
  <si>
    <t>Lehrer17</t>
  </si>
  <si>
    <t>Lehrer18</t>
  </si>
  <si>
    <t>Lehrer19</t>
  </si>
  <si>
    <t>Lehrer20</t>
  </si>
  <si>
    <t>Allg1</t>
  </si>
  <si>
    <t>Allg2</t>
  </si>
  <si>
    <t>Allg3</t>
  </si>
  <si>
    <t>Allg4</t>
  </si>
  <si>
    <t>Allg5</t>
  </si>
  <si>
    <t>Allg6</t>
  </si>
  <si>
    <t>Allg7</t>
  </si>
  <si>
    <t>Allg8</t>
  </si>
  <si>
    <t>Allg9</t>
  </si>
  <si>
    <t>Allg10</t>
  </si>
  <si>
    <t>Allg11</t>
  </si>
  <si>
    <t>Allg12</t>
  </si>
  <si>
    <t>Allg13</t>
  </si>
  <si>
    <t>Allg14</t>
  </si>
  <si>
    <t>Allg15</t>
  </si>
  <si>
    <t>Wachdienst1</t>
  </si>
  <si>
    <t>Technik1</t>
  </si>
  <si>
    <t>Nautik1</t>
  </si>
  <si>
    <t>Nautik2</t>
  </si>
  <si>
    <t>Wachdienst2</t>
  </si>
  <si>
    <t>Wachdienst3</t>
  </si>
  <si>
    <t>Wachdienst4</t>
  </si>
  <si>
    <t>Wachdienst5</t>
  </si>
  <si>
    <t>Wachdienst6</t>
  </si>
  <si>
    <t>Wachdienst7</t>
  </si>
  <si>
    <t>Wachdienst8</t>
  </si>
  <si>
    <t>Wachdienst9</t>
  </si>
  <si>
    <t>Technik2</t>
  </si>
  <si>
    <t>Technik3</t>
  </si>
  <si>
    <t>Technik4</t>
  </si>
  <si>
    <t>Technik5</t>
  </si>
  <si>
    <t>Seem. Dienst1</t>
  </si>
  <si>
    <t>Seem. Dienst2</t>
  </si>
  <si>
    <t>Seem. Dienst3</t>
  </si>
  <si>
    <t>Seem. Dienst4</t>
  </si>
  <si>
    <t>Seem. Dienst5</t>
  </si>
  <si>
    <t>Nautik3</t>
  </si>
  <si>
    <t>Nautik4</t>
  </si>
  <si>
    <t>Nautik5</t>
  </si>
  <si>
    <t>Nautik6</t>
  </si>
  <si>
    <t>Nautik7</t>
  </si>
  <si>
    <t>Nautik8</t>
  </si>
  <si>
    <t>Nautik9</t>
  </si>
  <si>
    <t>Nautik10</t>
  </si>
  <si>
    <t>Nautik11</t>
  </si>
  <si>
    <t>Nautik12</t>
  </si>
  <si>
    <t>Nautik13</t>
  </si>
  <si>
    <t>Sonst1</t>
  </si>
  <si>
    <t>Sonst2</t>
  </si>
  <si>
    <t>Sonst3</t>
  </si>
  <si>
    <t>1013_x000D_
Allg3_x000D_
Lehrer3</t>
  </si>
  <si>
    <t>1017_x000D_
Allg7_x000D_
Lehrer3</t>
  </si>
  <si>
    <t>3013_x000D_
Technik3_x000D_
Lehrer17</t>
  </si>
  <si>
    <t>5013_x000D_
Nautik3_x000D_
Lehrer17</t>
  </si>
  <si>
    <t>1011_x000D_
Allg1_x000D_
Lehrer2</t>
  </si>
  <si>
    <t>5022_x000D_
Nautik12_x000D_
Lehrer11</t>
  </si>
  <si>
    <t>Stundenplan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</si>
</sst>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\ &quot;EA&quot;"/>
    <numFmt numFmtId="165" formatCode="dd/mm/"/>
    <numFmt numFmtId="166" formatCode="&quot;Kalenderwoche &quot;General"/>
    <numFmt numFmtId="167" formatCode="&quot;Unterrichtswoche &quot;General"/>
    <numFmt numFmtId="168" formatCode="ddd"/>
    <numFmt numFmtId="169" formatCode="dddd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9E1F2"/>
        <bgColor indexed="64"/>
      </patternFill>
    </fill>
  </fills>
  <borders count="44">
    <border>
      <left/>
      <right/>
      <top/>
      <bottom/>
      <diagonal/>
    </border>
    <border>
      <left/>
      <right style="thin">
        <color theme="4" tint="0.39994506668294322"/>
      </right>
      <top/>
      <bottom style="thin">
        <color theme="4" tint="0.39997558519241921"/>
      </bottom>
      <diagonal/>
    </border>
    <border>
      <left style="thin">
        <color theme="4" tint="0.39994506668294322"/>
      </left>
      <right/>
      <top/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1454817346722"/>
      </left>
      <right style="thin">
        <color theme="4" tint="0.39991454817346722"/>
      </right>
      <top/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1454817346722"/>
      </right>
      <top/>
      <bottom style="medium">
        <color theme="4" tint="0.39988402966399123"/>
      </bottom>
      <diagonal/>
    </border>
    <border>
      <left style="medium">
        <color theme="1"/>
      </left>
      <right style="thin">
        <color theme="4" tint="0.39991454817346722"/>
      </right>
      <top style="medium">
        <color theme="1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medium">
        <color theme="1"/>
      </top>
      <bottom style="thin">
        <color theme="4" tint="0.39994506668294322"/>
      </bottom>
      <diagonal/>
    </border>
    <border>
      <left style="thin">
        <color theme="4" tint="0.39991454817346722"/>
      </left>
      <right style="medium">
        <color theme="1"/>
      </right>
      <top style="medium">
        <color theme="1"/>
      </top>
      <bottom style="thin">
        <color theme="4" tint="0.39994506668294322"/>
      </bottom>
      <diagonal/>
    </border>
    <border>
      <left style="medium">
        <color theme="1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medium">
        <color theme="1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1"/>
      </left>
      <right style="thin">
        <color theme="4" tint="0.39991454817346722"/>
      </right>
      <top style="thin">
        <color theme="4" tint="0.39994506668294322"/>
      </top>
      <bottom style="medium">
        <color theme="1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medium">
        <color theme="1"/>
      </bottom>
      <diagonal/>
    </border>
    <border>
      <left style="thin">
        <color theme="4" tint="0.39991454817346722"/>
      </left>
      <right style="medium">
        <color theme="1"/>
      </right>
      <top style="thin">
        <color theme="4" tint="0.39994506668294322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4" tint="0.39994506668294322"/>
      </right>
      <top style="medium">
        <color indexed="64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medium">
        <color indexed="64"/>
      </top>
      <bottom/>
      <diagonal/>
    </border>
    <border>
      <left style="thin">
        <color theme="4" tint="0.3999450666829432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4" tint="0.39994506668294322"/>
      </right>
      <top/>
      <bottom style="medium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medium">
        <color indexed="64"/>
      </bottom>
      <diagonal/>
    </border>
    <border>
      <left style="thin">
        <color theme="4" tint="0.39994506668294322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4"/>
      </right>
      <top style="medium">
        <color theme="1"/>
      </top>
      <bottom/>
      <diagonal/>
    </border>
    <border>
      <left style="thin">
        <color theme="4"/>
      </left>
      <right style="thin">
        <color theme="4"/>
      </right>
      <top style="medium">
        <color theme="1"/>
      </top>
      <bottom/>
      <diagonal/>
    </border>
    <border>
      <left style="medium">
        <color theme="1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medium">
        <color theme="1"/>
      </right>
      <top style="medium">
        <color theme="1"/>
      </top>
      <bottom/>
      <diagonal/>
    </border>
    <border>
      <left style="thin">
        <color theme="4"/>
      </left>
      <right style="medium">
        <color theme="1"/>
      </right>
      <top/>
      <bottom/>
      <diagonal/>
    </border>
    <border>
      <left style="medium">
        <color theme="1"/>
      </left>
      <right style="thin">
        <color theme="4"/>
      </right>
      <top/>
      <bottom style="medium">
        <color theme="1"/>
      </bottom>
      <diagonal/>
    </border>
    <border>
      <left style="thin">
        <color theme="4"/>
      </left>
      <right style="thin">
        <color theme="4"/>
      </right>
      <top/>
      <bottom style="medium">
        <color theme="1"/>
      </bottom>
      <diagonal/>
    </border>
    <border>
      <left style="thin">
        <color theme="4"/>
      </left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0" fontId="5" fillId="23" borderId="0" applyNumberFormat="0" applyBorder="0" applyAlignment="0" applyProtection="0"/>
  </cellStyleXfs>
  <cellXfs count="175">
    <xf numFmtId="0" fontId="0" fillId="0" borderId="0" xfId="0"/>
    <xf numFmtId="0" fontId="0" fillId="0" borderId="0" xfId="0" applyFill="1"/>
    <xf numFmtId="14" fontId="0" fillId="4" borderId="0" xfId="0" applyNumberFormat="1" applyFill="1" applyProtection="1">
      <protection locked="0"/>
    </xf>
    <xf numFmtId="14" fontId="0" fillId="0" borderId="0" xfId="0" applyNumberFormat="1" applyFill="1"/>
    <xf numFmtId="14" fontId="0" fillId="0" borderId="0" xfId="0" applyNumberFormat="1"/>
    <xf numFmtId="0" fontId="2" fillId="0" borderId="0" xfId="0" applyFont="1" applyFill="1" applyAlignment="1"/>
    <xf numFmtId="0" fontId="0" fillId="0" borderId="8" xfId="0" applyBorder="1"/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Fill="1" applyBorder="1"/>
    <xf numFmtId="0" fontId="1" fillId="0" borderId="2" xfId="0" applyFont="1" applyFill="1" applyBorder="1"/>
    <xf numFmtId="0" fontId="0" fillId="0" borderId="8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8" xfId="0" applyFill="1" applyBorder="1"/>
    <xf numFmtId="0" fontId="0" fillId="0" borderId="0" xfId="0" applyFont="1" applyAlignment="1">
      <alignment horizontal="center"/>
    </xf>
    <xf numFmtId="164" fontId="0" fillId="0" borderId="10" xfId="0" applyNumberFormat="1" applyFill="1" applyBorder="1" applyAlignment="1">
      <alignment horizontal="center" vertical="center" shrinkToFit="1"/>
    </xf>
    <xf numFmtId="164" fontId="0" fillId="0" borderId="11" xfId="0" applyNumberFormat="1" applyFill="1" applyBorder="1" applyAlignment="1">
      <alignment horizontal="center" shrinkToFit="1"/>
    </xf>
    <xf numFmtId="164" fontId="4" fillId="0" borderId="11" xfId="1" applyNumberFormat="1" applyFont="1" applyFill="1" applyBorder="1" applyAlignment="1">
      <alignment horizontal="center" shrinkToFit="1"/>
    </xf>
    <xf numFmtId="164" fontId="0" fillId="0" borderId="11" xfId="0" applyNumberFormat="1" applyFill="1" applyBorder="1" applyAlignment="1">
      <alignment horizontal="center" vertical="center" shrinkToFit="1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right"/>
    </xf>
    <xf numFmtId="0" fontId="0" fillId="24" borderId="7" xfId="0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0" fillId="26" borderId="7" xfId="0" applyFill="1" applyBorder="1" applyAlignment="1">
      <alignment horizontal="center"/>
    </xf>
    <xf numFmtId="0" fontId="0" fillId="27" borderId="7" xfId="0" applyFill="1" applyBorder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Continuous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165" fontId="6" fillId="0" borderId="13" xfId="0" applyNumberFormat="1" applyFont="1" applyFill="1" applyBorder="1" applyAlignment="1">
      <alignment horizontal="center" vertical="center"/>
    </xf>
    <xf numFmtId="0" fontId="0" fillId="0" borderId="14" xfId="0" applyFill="1" applyBorder="1" applyAlignment="1">
      <alignment vertical="center" wrapText="1"/>
    </xf>
    <xf numFmtId="0" fontId="6" fillId="0" borderId="15" xfId="0" applyFont="1" applyFill="1" applyBorder="1" applyAlignment="1">
      <alignment horizontal="right" vertical="center"/>
    </xf>
    <xf numFmtId="0" fontId="6" fillId="0" borderId="16" xfId="0" applyFont="1" applyFill="1" applyBorder="1" applyAlignment="1">
      <alignment horizontal="right" vertical="center"/>
    </xf>
    <xf numFmtId="0" fontId="0" fillId="0" borderId="17" xfId="0" applyNumberFormat="1" applyFill="1" applyBorder="1" applyAlignment="1">
      <alignment vertical="center" wrapText="1"/>
    </xf>
    <xf numFmtId="0" fontId="0" fillId="0" borderId="18" xfId="0" applyNumberFormat="1" applyFill="1" applyBorder="1" applyAlignment="1">
      <alignment vertical="center" wrapText="1"/>
    </xf>
    <xf numFmtId="0" fontId="6" fillId="0" borderId="19" xfId="0" applyFont="1" applyFill="1" applyBorder="1" applyAlignment="1">
      <alignment horizontal="right" vertical="center"/>
    </xf>
    <xf numFmtId="0" fontId="0" fillId="0" borderId="20" xfId="0" applyFill="1" applyBorder="1" applyAlignment="1">
      <alignment vertical="center" wrapText="1"/>
    </xf>
    <xf numFmtId="20" fontId="6" fillId="0" borderId="19" xfId="0" applyNumberFormat="1" applyFont="1" applyFill="1" applyBorder="1" applyAlignment="1">
      <alignment horizontal="right" vertical="center"/>
    </xf>
    <xf numFmtId="0" fontId="6" fillId="0" borderId="21" xfId="0" applyFont="1" applyFill="1" applyBorder="1" applyAlignment="1">
      <alignment horizontal="right" vertical="center"/>
    </xf>
    <xf numFmtId="0" fontId="0" fillId="0" borderId="22" xfId="0" applyFill="1" applyBorder="1" applyAlignment="1">
      <alignment vertical="center" wrapText="1"/>
    </xf>
    <xf numFmtId="0" fontId="0" fillId="0" borderId="23" xfId="0" applyFill="1" applyBorder="1" applyAlignment="1">
      <alignment vertical="center" wrapText="1"/>
    </xf>
    <xf numFmtId="0" fontId="0" fillId="0" borderId="0" xfId="0" applyBorder="1" applyProtection="1"/>
    <xf numFmtId="0" fontId="8" fillId="0" borderId="0" xfId="0" applyFont="1" applyBorder="1" applyAlignment="1" applyProtection="1">
      <alignment horizontal="centerContinuous" vertical="center"/>
    </xf>
    <xf numFmtId="0" fontId="0" fillId="0" borderId="0" xfId="0" applyBorder="1" applyAlignment="1" applyProtection="1">
      <alignment horizontal="centerContinuous"/>
    </xf>
    <xf numFmtId="0" fontId="0" fillId="0" borderId="0" xfId="0" applyAlignment="1" applyProtection="1">
      <alignment horizontal="centerContinuous"/>
    </xf>
    <xf numFmtId="14" fontId="7" fillId="0" borderId="0" xfId="0" applyNumberFormat="1" applyFont="1" applyBorder="1" applyProtection="1"/>
    <xf numFmtId="0" fontId="9" fillId="0" borderId="0" xfId="0" applyFont="1" applyAlignment="1" applyProtection="1">
      <alignment horizontal="centerContinuous" vertical="center"/>
      <protection hidden="1"/>
    </xf>
    <xf numFmtId="0" fontId="0" fillId="0" borderId="0" xfId="0" applyBorder="1" applyAlignment="1" applyProtection="1">
      <alignment horizontal="centerContinuous" vertical="center"/>
    </xf>
    <xf numFmtId="0" fontId="0" fillId="0" borderId="0" xfId="0" applyProtection="1"/>
    <xf numFmtId="0" fontId="6" fillId="0" borderId="0" xfId="0" applyFont="1" applyAlignment="1" applyProtection="1">
      <alignment horizontal="center" vertical="center"/>
    </xf>
    <xf numFmtId="166" fontId="10" fillId="0" borderId="0" xfId="0" applyNumberFormat="1" applyFont="1" applyAlignment="1" applyProtection="1">
      <alignment horizontal="center" vertical="center"/>
    </xf>
    <xf numFmtId="167" fontId="10" fillId="0" borderId="0" xfId="0" applyNumberFormat="1" applyFont="1" applyAlignment="1" applyProtection="1">
      <alignment horizontal="center"/>
    </xf>
    <xf numFmtId="0" fontId="0" fillId="0" borderId="0" xfId="0" applyNumberFormat="1" applyProtection="1"/>
    <xf numFmtId="0" fontId="0" fillId="0" borderId="0" xfId="0" applyAlignment="1" applyProtection="1">
      <alignment horizontal="right"/>
    </xf>
    <xf numFmtId="14" fontId="9" fillId="4" borderId="0" xfId="0" applyNumberFormat="1" applyFont="1" applyFill="1" applyAlignment="1" applyProtection="1">
      <alignment horizontal="center"/>
      <protection locked="0" hidden="1"/>
    </xf>
    <xf numFmtId="14" fontId="10" fillId="0" borderId="0" xfId="0" applyNumberFormat="1" applyFont="1" applyAlignment="1" applyProtection="1">
      <alignment horizontal="center" vertical="center"/>
    </xf>
    <xf numFmtId="14" fontId="10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center"/>
      <protection hidden="1"/>
    </xf>
    <xf numFmtId="14" fontId="0" fillId="0" borderId="0" xfId="0" applyNumberFormat="1" applyBorder="1" applyProtection="1"/>
    <xf numFmtId="0" fontId="6" fillId="0" borderId="0" xfId="0" applyFont="1" applyProtection="1"/>
    <xf numFmtId="14" fontId="0" fillId="0" borderId="0" xfId="0" applyNumberFormat="1" applyProtection="1"/>
    <xf numFmtId="0" fontId="0" fillId="0" borderId="0" xfId="0" applyFill="1" applyProtection="1"/>
    <xf numFmtId="0" fontId="6" fillId="0" borderId="24" xfId="0" applyFont="1" applyFill="1" applyBorder="1" applyAlignment="1" applyProtection="1">
      <alignment horizontal="center" vertical="center"/>
    </xf>
    <xf numFmtId="168" fontId="6" fillId="0" borderId="25" xfId="0" applyNumberFormat="1" applyFont="1" applyBorder="1" applyAlignment="1" applyProtection="1">
      <alignment horizontal="center"/>
    </xf>
    <xf numFmtId="168" fontId="6" fillId="0" borderId="26" xfId="0" applyNumberFormat="1" applyFont="1" applyBorder="1" applyAlignment="1" applyProtection="1">
      <alignment horizontal="center"/>
    </xf>
    <xf numFmtId="168" fontId="6" fillId="0" borderId="26" xfId="0" applyNumberFormat="1" applyFont="1" applyFill="1" applyBorder="1" applyAlignment="1" applyProtection="1">
      <alignment horizontal="center"/>
    </xf>
    <xf numFmtId="168" fontId="6" fillId="0" borderId="27" xfId="0" applyNumberFormat="1" applyFont="1" applyFill="1" applyBorder="1" applyAlignment="1" applyProtection="1">
      <alignment horizontal="center"/>
    </xf>
    <xf numFmtId="14" fontId="6" fillId="0" borderId="28" xfId="0" applyNumberFormat="1" applyFont="1" applyBorder="1" applyAlignment="1" applyProtection="1">
      <alignment horizontal="center"/>
    </xf>
    <xf numFmtId="14" fontId="6" fillId="0" borderId="29" xfId="0" applyNumberFormat="1" applyFont="1" applyBorder="1" applyAlignment="1" applyProtection="1">
      <alignment horizontal="center"/>
    </xf>
    <xf numFmtId="14" fontId="6" fillId="0" borderId="29" xfId="0" applyNumberFormat="1" applyFont="1" applyFill="1" applyBorder="1" applyAlignment="1" applyProtection="1">
      <alignment horizontal="center"/>
    </xf>
    <xf numFmtId="14" fontId="6" fillId="0" borderId="30" xfId="0" applyNumberFormat="1" applyFont="1" applyFill="1" applyBorder="1" applyAlignment="1" applyProtection="1">
      <alignment horizont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169" fontId="6" fillId="0" borderId="31" xfId="0" applyNumberFormat="1" applyFont="1" applyFill="1" applyBorder="1" applyAlignment="1" applyProtection="1">
      <alignment horizontal="center"/>
    </xf>
    <xf numFmtId="169" fontId="6" fillId="0" borderId="32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0" fontId="7" fillId="0" borderId="0" xfId="0" applyFont="1" applyFill="1"/>
    <xf numFmtId="0" fontId="11" fillId="28" borderId="0" xfId="0" applyFont="1" applyFill="1" applyBorder="1" applyAlignment="1">
      <alignment horizontal="right" vertical="center"/>
    </xf>
    <xf numFmtId="165" fontId="12" fillId="28" borderId="13" xfId="0" applyNumberFormat="1" applyFont="1" applyFill="1" applyBorder="1" applyAlignment="1">
      <alignment vertical="center" wrapText="1"/>
    </xf>
    <xf numFmtId="0" fontId="12" fillId="28" borderId="13" xfId="0" applyNumberFormat="1" applyFont="1" applyFill="1" applyBorder="1" applyAlignment="1">
      <alignment vertical="center" wrapText="1"/>
    </xf>
    <xf numFmtId="0" fontId="6" fillId="0" borderId="33" xfId="0" applyFont="1" applyFill="1" applyBorder="1" applyAlignment="1" applyProtection="1">
      <alignment horizontal="center" vertical="center"/>
    </xf>
    <xf numFmtId="0" fontId="6" fillId="0" borderId="34" xfId="0" applyFont="1" applyFill="1" applyBorder="1" applyAlignment="1" applyProtection="1">
      <alignment horizontal="center" vertical="center"/>
    </xf>
    <xf numFmtId="20" fontId="6" fillId="0" borderId="34" xfId="0" applyNumberFormat="1" applyFont="1" applyFill="1" applyBorder="1" applyAlignment="1" applyProtection="1">
      <alignment horizontal="center" vertical="center"/>
    </xf>
    <xf numFmtId="0" fontId="7" fillId="0" borderId="0" xfId="0" applyFont="1" applyBorder="1" applyProtection="1"/>
    <xf numFmtId="0" fontId="1" fillId="0" borderId="0" xfId="0" applyFont="1" applyProtection="1"/>
    <xf numFmtId="0" fontId="0" fillId="0" borderId="3" xfId="0" applyFont="1" applyFill="1" applyBorder="1" applyAlignment="1" applyProtection="1">
      <alignment horizontal="center" shrinkToFit="1"/>
      <protection locked="0"/>
    </xf>
    <xf numFmtId="0" fontId="0" fillId="0" borderId="0" xfId="0" applyFont="1" applyFill="1" applyBorder="1" applyAlignment="1" applyProtection="1">
      <alignment horizontal="left" vertical="top" shrinkToFit="1"/>
      <protection locked="0"/>
    </xf>
    <xf numFmtId="0" fontId="0" fillId="0" borderId="0" xfId="0" applyFont="1" applyFill="1" applyBorder="1" applyAlignment="1" applyProtection="1">
      <alignment shrinkToFit="1"/>
      <protection locked="0"/>
    </xf>
    <xf numFmtId="0" fontId="0" fillId="0" borderId="9" xfId="0" applyBorder="1" applyProtection="1">
      <protection locked="0"/>
    </xf>
    <xf numFmtId="164" fontId="0" fillId="0" borderId="10" xfId="0" applyNumberFormat="1" applyFill="1" applyBorder="1" applyAlignment="1" applyProtection="1">
      <alignment horizontal="center" vertical="center" shrinkToFit="1"/>
      <protection locked="0"/>
    </xf>
    <xf numFmtId="0" fontId="0" fillId="0" borderId="10" xfId="0" applyBorder="1" applyAlignment="1" applyProtection="1">
      <alignment horizontal="center" shrinkToFit="1"/>
      <protection locked="0"/>
    </xf>
    <xf numFmtId="164" fontId="0" fillId="0" borderId="11" xfId="0" applyNumberFormat="1" applyFill="1" applyBorder="1" applyAlignment="1" applyProtection="1">
      <alignment horizontal="center" shrinkToFit="1"/>
      <protection locked="0"/>
    </xf>
    <xf numFmtId="0" fontId="0" fillId="0" borderId="11" xfId="0" applyBorder="1" applyAlignment="1" applyProtection="1">
      <alignment horizontal="center" shrinkToFit="1"/>
      <protection locked="0"/>
    </xf>
    <xf numFmtId="164" fontId="4" fillId="0" borderId="11" xfId="1" applyNumberFormat="1" applyFont="1" applyFill="1" applyBorder="1" applyAlignment="1" applyProtection="1">
      <alignment horizontal="center" shrinkToFit="1"/>
      <protection locked="0"/>
    </xf>
    <xf numFmtId="164" fontId="0" fillId="0" borderId="11" xfId="0" applyNumberFormat="1" applyFill="1" applyBorder="1" applyAlignment="1" applyProtection="1">
      <alignment horizontal="center" vertical="center" shrinkToFit="1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12" xfId="0" applyNumberForma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6" fillId="0" borderId="10" xfId="0" applyFont="1" applyFill="1" applyBorder="1" applyAlignment="1" applyProtection="1">
      <alignment horizontal="left" vertical="top" shrinkToFit="1"/>
      <protection locked="0"/>
    </xf>
    <xf numFmtId="0" fontId="0" fillId="0" borderId="10" xfId="0" applyFill="1" applyBorder="1" applyAlignment="1" applyProtection="1">
      <alignment shrinkToFit="1"/>
      <protection locked="0"/>
    </xf>
    <xf numFmtId="0" fontId="0" fillId="0" borderId="11" xfId="0" applyFill="1" applyBorder="1" applyAlignment="1" applyProtection="1">
      <alignment shrinkToFit="1"/>
      <protection locked="0"/>
    </xf>
    <xf numFmtId="0" fontId="0" fillId="0" borderId="11" xfId="0" applyFill="1" applyBorder="1" applyAlignment="1" applyProtection="1">
      <alignment vertical="top" shrinkToFit="1"/>
      <protection locked="0"/>
    </xf>
    <xf numFmtId="0" fontId="6" fillId="0" borderId="11" xfId="0" applyFont="1" applyFill="1" applyBorder="1" applyAlignment="1" applyProtection="1">
      <alignment shrinkToFit="1"/>
      <protection locked="0"/>
    </xf>
    <xf numFmtId="0" fontId="0" fillId="0" borderId="11" xfId="0" applyFont="1" applyFill="1" applyBorder="1" applyAlignment="1" applyProtection="1">
      <alignment shrinkToFit="1"/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6" xfId="0" applyFont="1" applyFill="1" applyBorder="1" applyAlignment="1" applyProtection="1">
      <alignment shrinkToFit="1"/>
      <protection locked="0"/>
    </xf>
    <xf numFmtId="0" fontId="3" fillId="0" borderId="3" xfId="0" applyFont="1" applyFill="1" applyBorder="1" applyAlignment="1" applyProtection="1">
      <alignment horizontal="center" shrinkToFit="1"/>
      <protection locked="0"/>
    </xf>
    <xf numFmtId="0" fontId="3" fillId="0" borderId="5" xfId="0" applyFont="1" applyFill="1" applyBorder="1" applyAlignment="1" applyProtection="1">
      <alignment horizontal="center" shrinkToFit="1"/>
      <protection locked="0"/>
    </xf>
    <xf numFmtId="0" fontId="3" fillId="0" borderId="4" xfId="0" applyFont="1" applyFill="1" applyBorder="1" applyAlignment="1" applyProtection="1">
      <alignment shrinkToFit="1"/>
      <protection locked="0"/>
    </xf>
    <xf numFmtId="0" fontId="3" fillId="0" borderId="6" xfId="0" applyFont="1" applyFill="1" applyBorder="1" applyAlignment="1" applyProtection="1">
      <alignment shrinkToFit="1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21" borderId="8" xfId="0" applyFill="1" applyBorder="1" applyAlignment="1" applyProtection="1">
      <alignment horizontal="center" shrinkToFit="1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0" fillId="14" borderId="8" xfId="0" applyFill="1" applyBorder="1" applyAlignment="1" applyProtection="1">
      <alignment horizontal="center" shrinkToFit="1"/>
      <protection locked="0"/>
    </xf>
    <xf numFmtId="0" fontId="0" fillId="17" borderId="8" xfId="0" applyFill="1" applyBorder="1" applyAlignment="1" applyProtection="1">
      <alignment horizontal="center" shrinkToFit="1"/>
      <protection locked="0"/>
    </xf>
    <xf numFmtId="0" fontId="0" fillId="20" borderId="8" xfId="0" applyFill="1" applyBorder="1" applyAlignment="1" applyProtection="1">
      <alignment horizontal="center" shrinkToFit="1"/>
      <protection locked="0"/>
    </xf>
    <xf numFmtId="0" fontId="0" fillId="13" borderId="8" xfId="0" applyFill="1" applyBorder="1" applyAlignment="1" applyProtection="1">
      <alignment horizontal="center" shrinkToFit="1"/>
      <protection locked="0"/>
    </xf>
    <xf numFmtId="0" fontId="0" fillId="8" borderId="8" xfId="0" applyFill="1" applyBorder="1" applyAlignment="1" applyProtection="1">
      <alignment horizontal="center" shrinkToFit="1"/>
      <protection locked="0"/>
    </xf>
    <xf numFmtId="0" fontId="0" fillId="3" borderId="8" xfId="0" applyFill="1" applyBorder="1" applyAlignment="1" applyProtection="1">
      <alignment horizontal="center" shrinkToFit="1"/>
      <protection locked="0"/>
    </xf>
    <xf numFmtId="0" fontId="0" fillId="18" borderId="8" xfId="0" applyFill="1" applyBorder="1" applyAlignment="1" applyProtection="1">
      <alignment horizontal="center" shrinkToFit="1"/>
      <protection locked="0"/>
    </xf>
    <xf numFmtId="0" fontId="0" fillId="6" borderId="8" xfId="0" applyFill="1" applyBorder="1" applyAlignment="1" applyProtection="1">
      <alignment horizontal="center" shrinkToFit="1"/>
      <protection locked="0"/>
    </xf>
    <xf numFmtId="0" fontId="0" fillId="7" borderId="8" xfId="0" applyFill="1" applyBorder="1" applyAlignment="1" applyProtection="1">
      <alignment horizontal="center" shrinkToFit="1"/>
      <protection locked="0"/>
    </xf>
    <xf numFmtId="0" fontId="0" fillId="5" borderId="8" xfId="0" applyFill="1" applyBorder="1" applyAlignment="1" applyProtection="1">
      <alignment horizontal="center" shrinkToFit="1"/>
      <protection locked="0"/>
    </xf>
    <xf numFmtId="0" fontId="0" fillId="11" borderId="8" xfId="0" applyFill="1" applyBorder="1" applyAlignment="1" applyProtection="1">
      <alignment horizontal="center" shrinkToFit="1"/>
      <protection locked="0"/>
    </xf>
    <xf numFmtId="0" fontId="0" fillId="9" borderId="8" xfId="0" applyFill="1" applyBorder="1" applyAlignment="1" applyProtection="1">
      <alignment horizontal="center" shrinkToFit="1"/>
      <protection locked="0"/>
    </xf>
    <xf numFmtId="0" fontId="0" fillId="12" borderId="8" xfId="0" applyFill="1" applyBorder="1" applyAlignment="1" applyProtection="1">
      <alignment horizontal="center" shrinkToFit="1"/>
      <protection locked="0"/>
    </xf>
    <xf numFmtId="0" fontId="0" fillId="16" borderId="8" xfId="0" applyFill="1" applyBorder="1" applyAlignment="1" applyProtection="1">
      <alignment horizontal="center" shrinkToFit="1"/>
      <protection locked="0"/>
    </xf>
    <xf numFmtId="0" fontId="0" fillId="15" borderId="8" xfId="0" applyFill="1" applyBorder="1" applyAlignment="1" applyProtection="1">
      <alignment horizontal="center" shrinkToFit="1"/>
      <protection locked="0"/>
    </xf>
    <xf numFmtId="0" fontId="0" fillId="10" borderId="8" xfId="0" applyFill="1" applyBorder="1" applyAlignment="1" applyProtection="1">
      <alignment horizontal="center" shrinkToFit="1"/>
      <protection locked="0"/>
    </xf>
    <xf numFmtId="0" fontId="0" fillId="2" borderId="8" xfId="0" applyFill="1" applyBorder="1" applyAlignment="1" applyProtection="1">
      <alignment horizontal="center" shrinkToFit="1"/>
      <protection locked="0"/>
    </xf>
    <xf numFmtId="0" fontId="0" fillId="19" borderId="8" xfId="0" applyFill="1" applyBorder="1" applyAlignment="1" applyProtection="1">
      <alignment horizontal="center" shrinkToFit="1"/>
      <protection locked="0"/>
    </xf>
    <xf numFmtId="0" fontId="0" fillId="22" borderId="8" xfId="0" applyFill="1" applyBorder="1" applyAlignment="1" applyProtection="1">
      <alignment horizontal="center" shrinkToFit="1"/>
      <protection locked="0"/>
    </xf>
    <xf numFmtId="0" fontId="0" fillId="0" borderId="8" xfId="0" applyBorder="1" applyProtection="1">
      <protection locked="0"/>
    </xf>
    <xf numFmtId="0" fontId="0" fillId="0" borderId="0" xfId="0" applyBorder="1" applyAlignment="1" applyProtection="1">
      <alignment horizontal="center"/>
    </xf>
    <xf numFmtId="0" fontId="0" fillId="0" borderId="8" xfId="0" applyFill="1" applyBorder="1" applyProtection="1">
      <protection locked="0"/>
    </xf>
    <xf numFmtId="0" fontId="0" fillId="0" borderId="8" xfId="0" applyFont="1" applyBorder="1" applyAlignment="1">
      <alignment horizontal="center" wrapText="1"/>
    </xf>
    <xf numFmtId="0" fontId="0" fillId="0" borderId="8" xfId="0" applyBorder="1" applyAlignment="1"/>
    <xf numFmtId="0" fontId="0" fillId="0" borderId="9" xfId="0" applyBorder="1" applyAlignment="1"/>
    <xf numFmtId="0" fontId="0" fillId="0" borderId="0" xfId="0" applyAlignment="1"/>
    <xf numFmtId="0" fontId="0" fillId="26" borderId="11" xfId="0" applyFont="1" applyFill="1" applyBorder="1" applyAlignment="1" applyProtection="1">
      <alignment horizontal="center" shrinkToFit="1"/>
      <protection locked="0"/>
    </xf>
    <xf numFmtId="0" fontId="0" fillId="27" borderId="11" xfId="0" applyFont="1" applyFill="1" applyBorder="1" applyAlignment="1" applyProtection="1">
      <alignment horizontal="center" shrinkToFit="1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 wrapText="1"/>
    </xf>
    <xf numFmtId="0" fontId="0" fillId="0" borderId="36" xfId="0" applyNumberFormat="1" applyFill="1" applyBorder="1" applyAlignment="1" applyProtection="1">
      <alignment horizontal="center" vertical="center" wrapText="1"/>
    </xf>
    <xf numFmtId="0" fontId="0" fillId="0" borderId="37" xfId="0" applyNumberFormat="1" applyFill="1" applyBorder="1" applyAlignment="1" applyProtection="1">
      <alignment horizontal="center" vertical="center" wrapText="1"/>
    </xf>
    <xf numFmtId="0" fontId="0" fillId="0" borderId="38" xfId="0" applyNumberFormat="1" applyFill="1" applyBorder="1" applyAlignment="1" applyProtection="1">
      <alignment horizontal="center" vertical="center" wrapText="1"/>
    </xf>
    <xf numFmtId="0" fontId="0" fillId="0" borderId="39" xfId="0" applyNumberFormat="1" applyFill="1" applyBorder="1" applyAlignment="1" applyProtection="1">
      <alignment horizontal="center" vertical="center" wrapText="1"/>
    </xf>
    <xf numFmtId="0" fontId="0" fillId="0" borderId="40" xfId="0" applyNumberFormat="1" applyFill="1" applyBorder="1" applyAlignment="1" applyProtection="1">
      <alignment horizontal="center" vertical="center" wrapText="1"/>
    </xf>
    <xf numFmtId="0" fontId="0" fillId="0" borderId="41" xfId="0" applyNumberFormat="1" applyFill="1" applyBorder="1" applyAlignment="1" applyProtection="1">
      <alignment horizontal="center" vertical="center" wrapText="1"/>
    </xf>
    <xf numFmtId="0" fontId="0" fillId="0" borderId="42" xfId="0" applyNumberFormat="1" applyFill="1" applyBorder="1" applyAlignment="1" applyProtection="1">
      <alignment horizontal="center" vertical="center" wrapText="1"/>
    </xf>
    <xf numFmtId="0" fontId="0" fillId="0" borderId="43" xfId="0" applyNumberFormat="1" applyFill="1" applyBorder="1" applyAlignment="1" applyProtection="1">
      <alignment horizontal="center" vertical="center" wrapText="1"/>
    </xf>
    <xf numFmtId="0" fontId="0" fillId="25" borderId="10" xfId="0" applyFill="1" applyBorder="1" applyAlignment="1" applyProtection="1">
      <alignment horizontal="center"/>
      <protection locked="0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1" xfId="0" applyFont="1" applyFill="1" applyBorder="1" applyAlignment="1" applyProtection="1">
      <alignment horizontal="center" shrinkToFit="1"/>
      <protection locked="0"/>
    </xf>
    <xf numFmtId="0" fontId="0" fillId="29" borderId="7" xfId="0" applyFill="1" applyBorder="1" applyAlignment="1">
      <alignment horizontal="center"/>
    </xf>
    <xf numFmtId="0" fontId="0" fillId="27" borderId="11" xfId="0" applyFill="1" applyBorder="1" applyAlignment="1" applyProtection="1">
      <alignment horizontal="center"/>
      <protection locked="0"/>
    </xf>
    <xf numFmtId="0" fontId="0" fillId="24" borderId="11" xfId="0" applyFont="1" applyFill="1" applyBorder="1" applyAlignment="1" applyProtection="1">
      <alignment horizontal="center" shrinkToFit="1"/>
      <protection locked="0"/>
    </xf>
    <xf numFmtId="0" fontId="0" fillId="24" borderId="11" xfId="0" applyFont="1" applyFill="1" applyBorder="1" applyAlignment="1" applyProtection="1">
      <alignment horizontal="center" vertical="center" shrinkToFit="1"/>
      <protection locked="0"/>
    </xf>
    <xf numFmtId="0" fontId="0" fillId="27" borderId="14" xfId="0" applyFill="1" applyBorder="1" applyAlignment="1">
      <alignment vertical="center" wrapText="1"/>
    </xf>
    <xf numFmtId="0" fontId="0" fillId="26" borderId="14" xfId="0" applyFill="1" applyBorder="1" applyAlignment="1">
      <alignment vertical="center" wrapText="1"/>
    </xf>
    <xf numFmtId="0" fontId="0" fillId="29" borderId="14" xfId="0" applyFill="1" applyBorder="1" applyAlignment="1">
      <alignment vertical="center" wrapText="1"/>
    </xf>
    <xf numFmtId="0" fontId="0" fillId="24" borderId="14" xfId="0" applyFill="1" applyBorder="1" applyAlignment="1">
      <alignment vertical="center" wrapText="1"/>
    </xf>
  </cellXfs>
  <cellStyles count="2">
    <cellStyle name="Gut" xfId="1" builtinId="26"/>
    <cellStyle name="Standard" xfId="0" builtinId="0"/>
  </cellStyles>
  <dxfs count="4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dddd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medium">
          <color theme="1"/>
        </right>
        <top/>
        <bottom/>
        <vertical style="thin">
          <color theme="4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dddd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1"/>
        </left>
        <right style="thin">
          <color theme="4"/>
        </right>
        <top/>
        <bottom/>
        <vertical style="thin">
          <color theme="4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/>
        </right>
        <top/>
        <bottom/>
        <vertical/>
        <horizontal/>
      </border>
      <protection locked="1" hidden="0"/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medium">
          <color theme="1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E69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E69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54823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54823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54823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54823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E2EFDA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E2EFDA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E2EFDA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E2EFDA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1454817346722"/>
        </vertical>
        <horizontal style="thin">
          <color theme="4" tint="0.39994506668294322"/>
        </horizontal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BF8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4" tint="0.39991454817346722"/>
        </right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ill>
        <patternFill patternType="solid">
          <fgColor indexed="64"/>
          <bgColor rgb="FFF4B084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4" tint="0.399914548173467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left style="medium">
          <color auto="1"/>
        </left>
        <right style="thin">
          <color indexed="64"/>
        </right>
        <top style="medium">
          <color auto="1"/>
        </top>
        <bottom style="medium">
          <color indexed="64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solid">
          <fgColor indexed="64"/>
          <bgColor rgb="FF00206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  <protection locked="0" hidden="0"/>
    </dxf>
    <dxf>
      <numFmt numFmtId="164" formatCode="0\ &quot;EA&quot;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numFmt numFmtId="164" formatCode="0\ &quot;EA&quot;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alignment horizontal="center" vertical="bottom" textRotation="0" wrapText="0" indent="0" justifyLastLine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  <protection locked="0" hidden="0"/>
    </dxf>
    <dxf>
      <numFmt numFmtId="164" formatCode="0\ &quot;EA&quot;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  <protection locked="0" hidden="0"/>
    </dxf>
    <dxf>
      <alignment horizontal="center" textRotation="0" wrapText="0" indent="0" justifyLastLine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4506668294322"/>
        </vertical>
        <horizontal style="thin">
          <color theme="4" tint="0.39994506668294322"/>
        </horizontal>
      </border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0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alignment vertical="bottom" textRotation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 diagonalUp="0" diagonalDown="0">
        <left style="thin">
          <color theme="4" tint="0.39994506668294322"/>
        </left>
        <right/>
        <top/>
        <bottom/>
        <vertical style="thin">
          <color theme="4" tint="0.39994506668294322"/>
        </vertical>
        <horizontal/>
      </border>
      <protection locked="1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4506668294322"/>
        </right>
        <top/>
        <bottom/>
      </border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protection locked="0" hidden="0"/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/>
        <bottom/>
        <vertical style="thin">
          <color theme="4" tint="0.39994506668294322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>
        <left style="thin">
          <color theme="4" tint="0.39994506668294322"/>
        </left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/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border outline="0"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2</xdr:row>
      <xdr:rowOff>22413</xdr:rowOff>
    </xdr:from>
    <xdr:to>
      <xdr:col>0</xdr:col>
      <xdr:colOff>1276500</xdr:colOff>
      <xdr:row>3</xdr:row>
      <xdr:rowOff>136713</xdr:rowOff>
    </xdr:to>
    <xdr:sp macro="" textlink="">
      <xdr:nvSpPr>
        <xdr:cNvPr id="2" name="Eins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100" y="403413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158938</xdr:rowOff>
    </xdr:from>
    <xdr:to>
      <xdr:col>0</xdr:col>
      <xdr:colOff>1276350</xdr:colOff>
      <xdr:row>5</xdr:row>
      <xdr:rowOff>82738</xdr:rowOff>
    </xdr:to>
    <xdr:sp macro="[0]!LehrgangsinhalteAufrufen" textlink="">
      <xdr:nvSpPr>
        <xdr:cNvPr id="3" name="Leh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8100" y="730438"/>
          <a:ext cx="123825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19050</xdr:rowOff>
    </xdr:from>
    <xdr:to>
      <xdr:col>0</xdr:col>
      <xdr:colOff>323849</xdr:colOff>
      <xdr:row>1</xdr:row>
      <xdr:rowOff>152401</xdr:rowOff>
    </xdr:to>
    <xdr:sp macro="[0]!MenueOeffnen" textlink="">
      <xdr:nvSpPr>
        <xdr:cNvPr id="4" name="Menu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8100" y="19050"/>
          <a:ext cx="285749" cy="323851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200" b="1">
              <a:solidFill>
                <a:schemeClr val="bg1"/>
              </a:solidFill>
            </a:rPr>
            <a:t>Ξ</a:t>
          </a:r>
          <a:endParaRPr lang="de-DE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38100</xdr:colOff>
      <xdr:row>7</xdr:row>
      <xdr:rowOff>50988</xdr:rowOff>
    </xdr:from>
    <xdr:to>
      <xdr:col>0</xdr:col>
      <xdr:colOff>1276500</xdr:colOff>
      <xdr:row>8</xdr:row>
      <xdr:rowOff>165288</xdr:rowOff>
    </xdr:to>
    <xdr:sp macro="[0]!AusdruckAufrufen" textlink="">
      <xdr:nvSpPr>
        <xdr:cNvPr id="5" name="Ausd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8100" y="1384488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104963</xdr:rowOff>
    </xdr:from>
    <xdr:to>
      <xdr:col>0</xdr:col>
      <xdr:colOff>1276500</xdr:colOff>
      <xdr:row>7</xdr:row>
      <xdr:rowOff>28763</xdr:rowOff>
    </xdr:to>
    <xdr:sp macro="[0]!StundenplanAufrufen" textlink="">
      <xdr:nvSpPr>
        <xdr:cNvPr id="6" name="Stu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8100" y="1057463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0</xdr:col>
      <xdr:colOff>38100</xdr:colOff>
      <xdr:row>2</xdr:row>
      <xdr:rowOff>22413</xdr:rowOff>
    </xdr:from>
    <xdr:to>
      <xdr:col>0</xdr:col>
      <xdr:colOff>1276500</xdr:colOff>
      <xdr:row>3</xdr:row>
      <xdr:rowOff>136713</xdr:rowOff>
    </xdr:to>
    <xdr:sp macro="" textlink="">
      <xdr:nvSpPr>
        <xdr:cNvPr id="7" name="EinsAk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8100" y="403413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158938</xdr:rowOff>
    </xdr:from>
    <xdr:to>
      <xdr:col>0</xdr:col>
      <xdr:colOff>1276350</xdr:colOff>
      <xdr:row>5</xdr:row>
      <xdr:rowOff>82738</xdr:rowOff>
    </xdr:to>
    <xdr:sp macro="" textlink="">
      <xdr:nvSpPr>
        <xdr:cNvPr id="8" name="LehrAkt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8100" y="730438"/>
          <a:ext cx="123825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38100</xdr:colOff>
      <xdr:row>7</xdr:row>
      <xdr:rowOff>50988</xdr:rowOff>
    </xdr:from>
    <xdr:to>
      <xdr:col>0</xdr:col>
      <xdr:colOff>1276500</xdr:colOff>
      <xdr:row>8</xdr:row>
      <xdr:rowOff>165288</xdr:rowOff>
    </xdr:to>
    <xdr:sp macro="" textlink="">
      <xdr:nvSpPr>
        <xdr:cNvPr id="9" name="AusdAkt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8100" y="1384488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104963</xdr:rowOff>
    </xdr:from>
    <xdr:to>
      <xdr:col>0</xdr:col>
      <xdr:colOff>1276500</xdr:colOff>
      <xdr:row>7</xdr:row>
      <xdr:rowOff>28763</xdr:rowOff>
    </xdr:to>
    <xdr:sp macro="" textlink="">
      <xdr:nvSpPr>
        <xdr:cNvPr id="10" name="StunAkt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8100" y="1057463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Stundenplan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0</xdr:row>
      <xdr:rowOff>409576</xdr:rowOff>
    </xdr:from>
    <xdr:to>
      <xdr:col>1</xdr:col>
      <xdr:colOff>731334</xdr:colOff>
      <xdr:row>1</xdr:row>
      <xdr:rowOff>187700</xdr:rowOff>
    </xdr:to>
    <xdr:sp macro="[0]!GrundeinstellungenAufrufen" textlink="">
      <xdr:nvSpPr>
        <xdr:cNvPr id="2" name="Ei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8575" y="409576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28575</xdr:colOff>
      <xdr:row>2</xdr:row>
      <xdr:rowOff>19425</xdr:rowOff>
    </xdr:from>
    <xdr:to>
      <xdr:col>1</xdr:col>
      <xdr:colOff>731184</xdr:colOff>
      <xdr:row>3</xdr:row>
      <xdr:rowOff>133725</xdr:rowOff>
    </xdr:to>
    <xdr:sp macro="" textlink="">
      <xdr:nvSpPr>
        <xdr:cNvPr id="3" name="Lehr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8575" y="736601"/>
          <a:ext cx="123825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28575</xdr:colOff>
      <xdr:row>0</xdr:row>
      <xdr:rowOff>28575</xdr:rowOff>
    </xdr:from>
    <xdr:to>
      <xdr:col>0</xdr:col>
      <xdr:colOff>314324</xdr:colOff>
      <xdr:row>0</xdr:row>
      <xdr:rowOff>352426</xdr:rowOff>
    </xdr:to>
    <xdr:sp macro="[0]!MenueOeffnen" textlink="">
      <xdr:nvSpPr>
        <xdr:cNvPr id="4" name="Menu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" y="28575"/>
          <a:ext cx="285749" cy="323851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200" b="1">
              <a:solidFill>
                <a:schemeClr val="bg1"/>
              </a:solidFill>
            </a:rPr>
            <a:t>Ξ</a:t>
          </a:r>
          <a:endParaRPr lang="de-DE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28575</xdr:colOff>
      <xdr:row>5</xdr:row>
      <xdr:rowOff>101975</xdr:rowOff>
    </xdr:from>
    <xdr:to>
      <xdr:col>1</xdr:col>
      <xdr:colOff>731334</xdr:colOff>
      <xdr:row>7</xdr:row>
      <xdr:rowOff>25775</xdr:rowOff>
    </xdr:to>
    <xdr:sp macro="[0]!AusdruckAufrufen" textlink="">
      <xdr:nvSpPr>
        <xdr:cNvPr id="5" name="Aus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8575" y="1390651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28575</xdr:colOff>
      <xdr:row>3</xdr:row>
      <xdr:rowOff>155950</xdr:rowOff>
    </xdr:from>
    <xdr:to>
      <xdr:col>1</xdr:col>
      <xdr:colOff>731334</xdr:colOff>
      <xdr:row>5</xdr:row>
      <xdr:rowOff>79750</xdr:rowOff>
    </xdr:to>
    <xdr:sp macro="[0]!StundenplanAufrufen" textlink="">
      <xdr:nvSpPr>
        <xdr:cNvPr id="6" name="Stu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8575" y="1063626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0</xdr:col>
      <xdr:colOff>28575</xdr:colOff>
      <xdr:row>0</xdr:row>
      <xdr:rowOff>409576</xdr:rowOff>
    </xdr:from>
    <xdr:to>
      <xdr:col>1</xdr:col>
      <xdr:colOff>731334</xdr:colOff>
      <xdr:row>1</xdr:row>
      <xdr:rowOff>187700</xdr:rowOff>
    </xdr:to>
    <xdr:sp macro="" textlink="">
      <xdr:nvSpPr>
        <xdr:cNvPr id="7" name="EinsAkt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409576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28575</xdr:colOff>
      <xdr:row>2</xdr:row>
      <xdr:rowOff>19425</xdr:rowOff>
    </xdr:from>
    <xdr:to>
      <xdr:col>1</xdr:col>
      <xdr:colOff>731184</xdr:colOff>
      <xdr:row>3</xdr:row>
      <xdr:rowOff>133725</xdr:rowOff>
    </xdr:to>
    <xdr:sp macro="" textlink="">
      <xdr:nvSpPr>
        <xdr:cNvPr id="8" name="LehrAk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575" y="736601"/>
          <a:ext cx="123825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28575</xdr:colOff>
      <xdr:row>5</xdr:row>
      <xdr:rowOff>101975</xdr:rowOff>
    </xdr:from>
    <xdr:to>
      <xdr:col>1</xdr:col>
      <xdr:colOff>731334</xdr:colOff>
      <xdr:row>7</xdr:row>
      <xdr:rowOff>25775</xdr:rowOff>
    </xdr:to>
    <xdr:sp macro="" textlink="">
      <xdr:nvSpPr>
        <xdr:cNvPr id="9" name="AusdAkt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8575" y="1390651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28575</xdr:colOff>
      <xdr:row>3</xdr:row>
      <xdr:rowOff>155950</xdr:rowOff>
    </xdr:from>
    <xdr:to>
      <xdr:col>1</xdr:col>
      <xdr:colOff>731334</xdr:colOff>
      <xdr:row>5</xdr:row>
      <xdr:rowOff>79750</xdr:rowOff>
    </xdr:to>
    <xdr:sp macro="" textlink="">
      <xdr:nvSpPr>
        <xdr:cNvPr id="10" name="StunAkt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1063626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Stundenplan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66674</xdr:colOff>
      <xdr:row>6</xdr:row>
      <xdr:rowOff>0</xdr:rowOff>
    </xdr:from>
    <xdr:to>
      <xdr:col>0</xdr:col>
      <xdr:colOff>1305074</xdr:colOff>
      <xdr:row>6</xdr:row>
      <xdr:rowOff>304800</xdr:rowOff>
    </xdr:to>
    <xdr:sp macro="[0]!GrundeinstellungenAufrufen" textlink="">
      <xdr:nvSpPr>
        <xdr:cNvPr id="2" name="Ei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6674" y="590550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66674</xdr:colOff>
      <xdr:row>6</xdr:row>
      <xdr:rowOff>327025</xdr:rowOff>
    </xdr:from>
    <xdr:to>
      <xdr:col>0</xdr:col>
      <xdr:colOff>1304924</xdr:colOff>
      <xdr:row>7</xdr:row>
      <xdr:rowOff>60325</xdr:rowOff>
    </xdr:to>
    <xdr:sp macro="[0]!LehrgangsinhalteAufrufen" textlink="">
      <xdr:nvSpPr>
        <xdr:cNvPr id="3" name="Leh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6674" y="917575"/>
          <a:ext cx="123825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66674</xdr:colOff>
      <xdr:row>3</xdr:row>
      <xdr:rowOff>19049</xdr:rowOff>
    </xdr:from>
    <xdr:to>
      <xdr:col>0</xdr:col>
      <xdr:colOff>352423</xdr:colOff>
      <xdr:row>4</xdr:row>
      <xdr:rowOff>152400</xdr:rowOff>
    </xdr:to>
    <xdr:sp macro="[0]!MenueOeffnen" textlink="">
      <xdr:nvSpPr>
        <xdr:cNvPr id="4" name="Menu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6674" y="209549"/>
          <a:ext cx="285749" cy="323851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200" b="1">
              <a:solidFill>
                <a:schemeClr val="bg1"/>
              </a:solidFill>
            </a:rPr>
            <a:t>Ξ</a:t>
          </a:r>
          <a:endParaRPr lang="de-DE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66674</xdr:colOff>
      <xdr:row>7</xdr:row>
      <xdr:rowOff>409575</xdr:rowOff>
    </xdr:from>
    <xdr:to>
      <xdr:col>0</xdr:col>
      <xdr:colOff>1305074</xdr:colOff>
      <xdr:row>8</xdr:row>
      <xdr:rowOff>142875</xdr:rowOff>
    </xdr:to>
    <xdr:sp macro="[0]!AusdruckAufrufen" textlink="">
      <xdr:nvSpPr>
        <xdr:cNvPr id="5" name="Aus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66674" y="1571625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66674</xdr:colOff>
      <xdr:row>7</xdr:row>
      <xdr:rowOff>82550</xdr:rowOff>
    </xdr:from>
    <xdr:to>
      <xdr:col>0</xdr:col>
      <xdr:colOff>1305074</xdr:colOff>
      <xdr:row>7</xdr:row>
      <xdr:rowOff>387350</xdr:rowOff>
    </xdr:to>
    <xdr:sp macro="" textlink="">
      <xdr:nvSpPr>
        <xdr:cNvPr id="6" name="Stun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6674" y="1244600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0</xdr:col>
      <xdr:colOff>66674</xdr:colOff>
      <xdr:row>6</xdr:row>
      <xdr:rowOff>0</xdr:rowOff>
    </xdr:from>
    <xdr:to>
      <xdr:col>0</xdr:col>
      <xdr:colOff>1305074</xdr:colOff>
      <xdr:row>6</xdr:row>
      <xdr:rowOff>304800</xdr:rowOff>
    </xdr:to>
    <xdr:sp macro="" textlink="">
      <xdr:nvSpPr>
        <xdr:cNvPr id="7" name="EinsAk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4" y="590550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66674</xdr:colOff>
      <xdr:row>6</xdr:row>
      <xdr:rowOff>327025</xdr:rowOff>
    </xdr:from>
    <xdr:to>
      <xdr:col>0</xdr:col>
      <xdr:colOff>1304924</xdr:colOff>
      <xdr:row>7</xdr:row>
      <xdr:rowOff>60325</xdr:rowOff>
    </xdr:to>
    <xdr:sp macro="" textlink="">
      <xdr:nvSpPr>
        <xdr:cNvPr id="8" name="LehrAkt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66674" y="917575"/>
          <a:ext cx="123825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66674</xdr:colOff>
      <xdr:row>7</xdr:row>
      <xdr:rowOff>409575</xdr:rowOff>
    </xdr:from>
    <xdr:to>
      <xdr:col>0</xdr:col>
      <xdr:colOff>1305074</xdr:colOff>
      <xdr:row>8</xdr:row>
      <xdr:rowOff>142875</xdr:rowOff>
    </xdr:to>
    <xdr:sp macro="" textlink="">
      <xdr:nvSpPr>
        <xdr:cNvPr id="9" name="AusdAkt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66674" y="1571625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66674</xdr:colOff>
      <xdr:row>7</xdr:row>
      <xdr:rowOff>82550</xdr:rowOff>
    </xdr:from>
    <xdr:to>
      <xdr:col>0</xdr:col>
      <xdr:colOff>1305074</xdr:colOff>
      <xdr:row>7</xdr:row>
      <xdr:rowOff>387350</xdr:rowOff>
    </xdr:to>
    <xdr:sp macro="" textlink="">
      <xdr:nvSpPr>
        <xdr:cNvPr id="10" name="StunAkt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66674" y="1244600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Stundenplan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190500</xdr:colOff>
      <xdr:row>6</xdr:row>
      <xdr:rowOff>304800</xdr:rowOff>
    </xdr:to>
    <xdr:sp macro="" textlink="">
      <xdr:nvSpPr>
        <xdr:cNvPr id="3" name="AutoShape 14" descr="Bildergebnis für up clipar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8030825" y="26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190500</xdr:colOff>
      <xdr:row>7</xdr:row>
      <xdr:rowOff>304800</xdr:rowOff>
    </xdr:to>
    <xdr:sp macro="" textlink="">
      <xdr:nvSpPr>
        <xdr:cNvPr id="4" name="AutoShape 16" descr="https://th.bing.com/th/id/OIP.lnWrce35pbJ24pfCmRlmywHaHa?w=195&amp;h=195&amp;c=7&amp;r=0&amp;o=5&amp;dpr=1.5&amp;pid=1.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030825" y="41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747155</xdr:colOff>
      <xdr:row>0</xdr:row>
      <xdr:rowOff>673552</xdr:rowOff>
    </xdr:from>
    <xdr:to>
      <xdr:col>3</xdr:col>
      <xdr:colOff>1032905</xdr:colOff>
      <xdr:row>0</xdr:row>
      <xdr:rowOff>959302</xdr:rowOff>
    </xdr:to>
    <xdr:pic macro="[0]!NaechsteWoche">
      <xdr:nvPic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9247" y1="19178" x2="9247" y2="19178"/>
                      <a14:foregroundMark x1="11301" y1="26370" x2="36644" y2="5479"/>
                      <a14:foregroundMark x1="68836" y1="11644" x2="80822" y2="25342"/>
                      <a14:foregroundMark x1="87671" y1="51712" x2="76370" y2="82534"/>
                      <a14:foregroundMark x1="29452" y1="66096" x2="35274" y2="54452"/>
                      <a14:foregroundMark x1="68151" y1="63014" x2="61301" y2="45548"/>
                      <a14:foregroundMark x1="50000" y1="11301" x2="81849" y2="4212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0535" y="673552"/>
          <a:ext cx="285750" cy="28575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1921329</xdr:colOff>
      <xdr:row>0</xdr:row>
      <xdr:rowOff>673552</xdr:rowOff>
    </xdr:from>
    <xdr:to>
      <xdr:col>2</xdr:col>
      <xdr:colOff>2207079</xdr:colOff>
      <xdr:row>0</xdr:row>
      <xdr:rowOff>959302</xdr:rowOff>
    </xdr:to>
    <xdr:pic macro="[0]!VorigeWoche">
      <xdr:nvPicPr>
        <xdr:cNvPr id="7" name="Grafik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9247" y1="19178" x2="9247" y2="19178"/>
                      <a14:foregroundMark x1="11301" y1="26370" x2="36644" y2="5479"/>
                      <a14:foregroundMark x1="68836" y1="11644" x2="80822" y2="25342"/>
                      <a14:foregroundMark x1="87671" y1="51712" x2="76370" y2="82534"/>
                      <a14:foregroundMark x1="29452" y1="66096" x2="35274" y2="54452"/>
                      <a14:foregroundMark x1="68151" y1="63014" x2="61301" y2="45548"/>
                      <a14:foregroundMark x1="50000" y1="11301" x2="81849" y2="4212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3282043" y="673552"/>
          <a:ext cx="285750" cy="285750"/>
        </a:xfrm>
        <a:prstGeom prst="rect">
          <a:avLst/>
        </a:prstGeom>
      </xdr:spPr>
    </xdr:pic>
    <xdr:clientData fPrintsWithSheet="0"/>
  </xdr:twoCellAnchor>
  <xdr:twoCellAnchor editAs="absolute">
    <xdr:from>
      <xdr:col>2</xdr:col>
      <xdr:colOff>2280557</xdr:colOff>
      <xdr:row>0</xdr:row>
      <xdr:rowOff>571499</xdr:rowOff>
    </xdr:from>
    <xdr:to>
      <xdr:col>3</xdr:col>
      <xdr:colOff>673677</xdr:colOff>
      <xdr:row>0</xdr:row>
      <xdr:rowOff>1061356</xdr:rowOff>
    </xdr:to>
    <xdr:sp macro="[0]!frmDatumsauswahlOeffn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41271" y="571499"/>
          <a:ext cx="1115786" cy="48985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Datumsauswahl</a:t>
          </a:r>
          <a:br>
            <a:rPr lang="de-DE" sz="1100"/>
          </a:br>
          <a:r>
            <a:rPr lang="de-DE" sz="1100"/>
            <a:t>öffnen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585109</xdr:rowOff>
    </xdr:from>
    <xdr:to>
      <xdr:col>1</xdr:col>
      <xdr:colOff>1129543</xdr:colOff>
      <xdr:row>0</xdr:row>
      <xdr:rowOff>889909</xdr:rowOff>
    </xdr:to>
    <xdr:sp macro="[0]!GrundeinstellungenAufrufen" textlink="">
      <xdr:nvSpPr>
        <xdr:cNvPr id="14" name="Eins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95250" y="585109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912134</xdr:rowOff>
    </xdr:from>
    <xdr:to>
      <xdr:col>1</xdr:col>
      <xdr:colOff>1129393</xdr:colOff>
      <xdr:row>0</xdr:row>
      <xdr:rowOff>1216934</xdr:rowOff>
    </xdr:to>
    <xdr:sp macro="[0]!LehrgangsinhalteAufrufen" textlink="">
      <xdr:nvSpPr>
        <xdr:cNvPr id="15" name="Lehr" hidden="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95250" y="912134"/>
          <a:ext cx="123825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204108</xdr:rowOff>
    </xdr:from>
    <xdr:to>
      <xdr:col>1</xdr:col>
      <xdr:colOff>176892</xdr:colOff>
      <xdr:row>0</xdr:row>
      <xdr:rowOff>527959</xdr:rowOff>
    </xdr:to>
    <xdr:sp macro="[0]!MenueOeffnen" textlink="">
      <xdr:nvSpPr>
        <xdr:cNvPr id="16" name="Menue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5250" y="204108"/>
          <a:ext cx="285749" cy="323851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200" b="1">
              <a:solidFill>
                <a:schemeClr val="bg1"/>
              </a:solidFill>
            </a:rPr>
            <a:t>Ξ</a:t>
          </a:r>
          <a:endParaRPr lang="de-DE" sz="12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1566184</xdr:rowOff>
    </xdr:from>
    <xdr:to>
      <xdr:col>1</xdr:col>
      <xdr:colOff>1129543</xdr:colOff>
      <xdr:row>1</xdr:row>
      <xdr:rowOff>238127</xdr:rowOff>
    </xdr:to>
    <xdr:sp macro="" textlink="">
      <xdr:nvSpPr>
        <xdr:cNvPr id="17" name="Ausd" hidden="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95250" y="1566184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1239159</xdr:rowOff>
    </xdr:from>
    <xdr:to>
      <xdr:col>1</xdr:col>
      <xdr:colOff>1129543</xdr:colOff>
      <xdr:row>0</xdr:row>
      <xdr:rowOff>1543959</xdr:rowOff>
    </xdr:to>
    <xdr:sp macro="[0]!StundenplanAufrufen" textlink="">
      <xdr:nvSpPr>
        <xdr:cNvPr id="18" name="Stun" hidden="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95250" y="1239159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585109</xdr:rowOff>
    </xdr:from>
    <xdr:to>
      <xdr:col>1</xdr:col>
      <xdr:colOff>1129543</xdr:colOff>
      <xdr:row>0</xdr:row>
      <xdr:rowOff>889909</xdr:rowOff>
    </xdr:to>
    <xdr:sp macro="" textlink="">
      <xdr:nvSpPr>
        <xdr:cNvPr id="19" name="EinsAkt" hidden="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5250" y="585109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912134</xdr:rowOff>
    </xdr:from>
    <xdr:to>
      <xdr:col>1</xdr:col>
      <xdr:colOff>1129393</xdr:colOff>
      <xdr:row>0</xdr:row>
      <xdr:rowOff>1216934</xdr:rowOff>
    </xdr:to>
    <xdr:sp macro="" textlink="">
      <xdr:nvSpPr>
        <xdr:cNvPr id="20" name="LehrAkt" hidden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95250" y="912134"/>
          <a:ext cx="123825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1566184</xdr:rowOff>
    </xdr:from>
    <xdr:to>
      <xdr:col>1</xdr:col>
      <xdr:colOff>1129543</xdr:colOff>
      <xdr:row>1</xdr:row>
      <xdr:rowOff>238127</xdr:rowOff>
    </xdr:to>
    <xdr:sp macro="" textlink="">
      <xdr:nvSpPr>
        <xdr:cNvPr id="21" name="AusdAkt" hidden="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95250" y="1566184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0</xdr:col>
      <xdr:colOff>95250</xdr:colOff>
      <xdr:row>0</xdr:row>
      <xdr:rowOff>1239159</xdr:rowOff>
    </xdr:from>
    <xdr:to>
      <xdr:col>1</xdr:col>
      <xdr:colOff>1129543</xdr:colOff>
      <xdr:row>0</xdr:row>
      <xdr:rowOff>1543959</xdr:rowOff>
    </xdr:to>
    <xdr:sp macro="" textlink="">
      <xdr:nvSpPr>
        <xdr:cNvPr id="22" name="StunAkt" hidden="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95250" y="1239159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6</xdr:col>
      <xdr:colOff>378278</xdr:colOff>
      <xdr:row>0</xdr:row>
      <xdr:rowOff>574220</xdr:rowOff>
    </xdr:from>
    <xdr:to>
      <xdr:col>6</xdr:col>
      <xdr:colOff>1492827</xdr:colOff>
      <xdr:row>0</xdr:row>
      <xdr:rowOff>1064077</xdr:rowOff>
    </xdr:to>
    <xdr:sp macro="[0]!Drucken" textlink="">
      <xdr:nvSpPr>
        <xdr:cNvPr id="23" name="Rechteck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2624707" y="574220"/>
          <a:ext cx="1114549" cy="489857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Drucken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2</xdr:row>
      <xdr:rowOff>1</xdr:rowOff>
    </xdr:from>
    <xdr:to>
      <xdr:col>9</xdr:col>
      <xdr:colOff>476400</xdr:colOff>
      <xdr:row>3</xdr:row>
      <xdr:rowOff>114301</xdr:rowOff>
    </xdr:to>
    <xdr:sp macro="" textlink="">
      <xdr:nvSpPr>
        <xdr:cNvPr id="2" name="Eins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10300" y="381001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8</xdr:col>
      <xdr:colOff>0</xdr:colOff>
      <xdr:row>3</xdr:row>
      <xdr:rowOff>136526</xdr:rowOff>
    </xdr:from>
    <xdr:to>
      <xdr:col>9</xdr:col>
      <xdr:colOff>476250</xdr:colOff>
      <xdr:row>5</xdr:row>
      <xdr:rowOff>60326</xdr:rowOff>
    </xdr:to>
    <xdr:sp macro="" textlink="">
      <xdr:nvSpPr>
        <xdr:cNvPr id="3" name="Lehr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210300" y="708026"/>
          <a:ext cx="123825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8</xdr:col>
      <xdr:colOff>0</xdr:colOff>
      <xdr:row>0</xdr:row>
      <xdr:rowOff>0</xdr:rowOff>
    </xdr:from>
    <xdr:to>
      <xdr:col>8</xdr:col>
      <xdr:colOff>285749</xdr:colOff>
      <xdr:row>1</xdr:row>
      <xdr:rowOff>133351</xdr:rowOff>
    </xdr:to>
    <xdr:sp macro="[0]!MenueOeffnen" textlink="">
      <xdr:nvSpPr>
        <xdr:cNvPr id="4" name="Menu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6210300" y="0"/>
          <a:ext cx="285749" cy="323851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l-GR" sz="1200" b="1">
              <a:solidFill>
                <a:schemeClr val="bg1"/>
              </a:solidFill>
            </a:rPr>
            <a:t>Ξ</a:t>
          </a:r>
          <a:endParaRPr lang="de-DE" sz="12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8</xdr:col>
      <xdr:colOff>0</xdr:colOff>
      <xdr:row>7</xdr:row>
      <xdr:rowOff>28576</xdr:rowOff>
    </xdr:from>
    <xdr:to>
      <xdr:col>9</xdr:col>
      <xdr:colOff>476400</xdr:colOff>
      <xdr:row>8</xdr:row>
      <xdr:rowOff>142876</xdr:rowOff>
    </xdr:to>
    <xdr:sp macro="" textlink="">
      <xdr:nvSpPr>
        <xdr:cNvPr id="5" name="Ausd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6210300" y="1362076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8</xdr:col>
      <xdr:colOff>0</xdr:colOff>
      <xdr:row>5</xdr:row>
      <xdr:rowOff>82551</xdr:rowOff>
    </xdr:from>
    <xdr:to>
      <xdr:col>9</xdr:col>
      <xdr:colOff>476400</xdr:colOff>
      <xdr:row>7</xdr:row>
      <xdr:rowOff>6351</xdr:rowOff>
    </xdr:to>
    <xdr:sp macro="" textlink="">
      <xdr:nvSpPr>
        <xdr:cNvPr id="6" name="Stun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6210300" y="1035051"/>
          <a:ext cx="1238400" cy="304800"/>
        </a:xfrm>
        <a:prstGeom prst="round2DiagRect">
          <a:avLst/>
        </a:prstGeom>
        <a:solidFill>
          <a:srgbClr val="002060"/>
        </a:solidFill>
        <a:ln w="19050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chemeClr val="bg1"/>
              </a:solidFill>
            </a:rPr>
            <a:t>Stundenplan</a:t>
          </a:r>
        </a:p>
      </xdr:txBody>
    </xdr:sp>
    <xdr:clientData fPrintsWithSheet="0"/>
  </xdr:twoCellAnchor>
  <xdr:twoCellAnchor editAs="absolute">
    <xdr:from>
      <xdr:col>8</xdr:col>
      <xdr:colOff>152400</xdr:colOff>
      <xdr:row>2</xdr:row>
      <xdr:rowOff>152401</xdr:rowOff>
    </xdr:from>
    <xdr:to>
      <xdr:col>9</xdr:col>
      <xdr:colOff>628800</xdr:colOff>
      <xdr:row>4</xdr:row>
      <xdr:rowOff>76201</xdr:rowOff>
    </xdr:to>
    <xdr:sp macro="" textlink="">
      <xdr:nvSpPr>
        <xdr:cNvPr id="7" name="EinsAkt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362700" y="533401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Einstellungen</a:t>
          </a:r>
        </a:p>
      </xdr:txBody>
    </xdr:sp>
    <xdr:clientData fPrintsWithSheet="0"/>
  </xdr:twoCellAnchor>
  <xdr:twoCellAnchor editAs="absolute">
    <xdr:from>
      <xdr:col>8</xdr:col>
      <xdr:colOff>152400</xdr:colOff>
      <xdr:row>4</xdr:row>
      <xdr:rowOff>98426</xdr:rowOff>
    </xdr:from>
    <xdr:to>
      <xdr:col>9</xdr:col>
      <xdr:colOff>628650</xdr:colOff>
      <xdr:row>6</xdr:row>
      <xdr:rowOff>22226</xdr:rowOff>
    </xdr:to>
    <xdr:sp macro="" textlink="">
      <xdr:nvSpPr>
        <xdr:cNvPr id="8" name="LehrAkt" hidden="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6362700" y="860426"/>
          <a:ext cx="123825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Lehrgangsinhalte</a:t>
          </a:r>
        </a:p>
      </xdr:txBody>
    </xdr:sp>
    <xdr:clientData fPrintsWithSheet="0"/>
  </xdr:twoCellAnchor>
  <xdr:twoCellAnchor editAs="absolute">
    <xdr:from>
      <xdr:col>8</xdr:col>
      <xdr:colOff>152400</xdr:colOff>
      <xdr:row>7</xdr:row>
      <xdr:rowOff>180976</xdr:rowOff>
    </xdr:from>
    <xdr:to>
      <xdr:col>9</xdr:col>
      <xdr:colOff>628800</xdr:colOff>
      <xdr:row>9</xdr:row>
      <xdr:rowOff>104776</xdr:rowOff>
    </xdr:to>
    <xdr:sp macro="" textlink="">
      <xdr:nvSpPr>
        <xdr:cNvPr id="9" name="AusdAkt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362700" y="1514476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Ausdruck</a:t>
          </a:r>
        </a:p>
      </xdr:txBody>
    </xdr:sp>
    <xdr:clientData fPrintsWithSheet="0"/>
  </xdr:twoCellAnchor>
  <xdr:twoCellAnchor editAs="absolute">
    <xdr:from>
      <xdr:col>8</xdr:col>
      <xdr:colOff>152400</xdr:colOff>
      <xdr:row>6</xdr:row>
      <xdr:rowOff>44451</xdr:rowOff>
    </xdr:from>
    <xdr:to>
      <xdr:col>9</xdr:col>
      <xdr:colOff>628800</xdr:colOff>
      <xdr:row>7</xdr:row>
      <xdr:rowOff>158751</xdr:rowOff>
    </xdr:to>
    <xdr:sp macro="" textlink="">
      <xdr:nvSpPr>
        <xdr:cNvPr id="10" name="StunAkt" hidden="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362700" y="1187451"/>
          <a:ext cx="1238400" cy="304800"/>
        </a:xfrm>
        <a:prstGeom prst="round2DiagRect">
          <a:avLst/>
        </a:prstGeom>
        <a:solidFill>
          <a:schemeClr val="bg1"/>
        </a:solidFill>
        <a:ln w="1905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1100">
              <a:solidFill>
                <a:srgbClr val="002060"/>
              </a:solidFill>
            </a:rPr>
            <a:t>Stundenplan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Abschnitte" displayName="tblAbschnitte" ref="D1:E31" totalsRowShown="0" headerRowDxfId="419" dataDxfId="417" headerRowBorderDxfId="418" tableBorderDxfId="416" totalsRowBorderDxfId="415">
  <autoFilter ref="D1:E31" xr:uid="{00000000-0009-0000-0100-000002000000}">
    <filterColumn colId="0" hiddenButton="1"/>
    <filterColumn colId="1" hiddenButton="1"/>
  </autoFilter>
  <sortState xmlns:xlrd2="http://schemas.microsoft.com/office/spreadsheetml/2017/richdata2" ref="D2:E31">
    <sortCondition ref="D2:D30"/>
    <sortCondition ref="D2:D7"/>
    <sortCondition ref="D2:D9"/>
    <sortCondition ref="D2:D10"/>
    <sortCondition ref="D2:D31"/>
  </sortState>
  <tableColumns count="2">
    <tableColumn id="1" xr3:uid="{00000000-0010-0000-0000-000001000000}" name="Abschn.-Nr." dataDxfId="414"/>
    <tableColumn id="2" xr3:uid="{00000000-0010-0000-0000-000002000000}" name="Abschn.-Bez." dataDxfId="4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TFL" displayName="tblTFL" ref="G1:J31" totalsRowShown="0" headerRowDxfId="412" dataDxfId="411" tableBorderDxfId="410">
  <autoFilter ref="G1:J31" xr:uid="{00000000-0009-0000-0100-000003000000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G2:J31">
    <sortCondition ref="H2:H30"/>
    <sortCondition ref="H2:H31"/>
  </sortState>
  <tableColumns count="4">
    <tableColumn id="1" xr3:uid="{00000000-0010-0000-0100-000001000000}" name="DG" dataDxfId="409"/>
    <tableColumn id="2" xr3:uid="{00000000-0010-0000-0100-000002000000}" name="Name" dataDxfId="408"/>
    <tableColumn id="3" xr3:uid="{00000000-0010-0000-0100-000003000000}" name="Farbe" dataDxfId="407"/>
    <tableColumn id="4" xr3:uid="{00000000-0010-0000-0100-000004000000}" name="Std.-Bel." dataDxfId="406">
      <calculatedColumnFormula>IF(tblTFL[[#This Row],[Name]]&lt;&gt;"",COUNTIF(tblStundenplan[[Spalte2]:[Spalte365]],"*"&amp;tblTFL[[#This Row],[Name]]),"")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Lehrgangsinhalte" displayName="tblLehrgangsinhalte" ref="A1:L90" totalsRowShown="0" headerRowDxfId="399" tableBorderDxfId="398">
  <autoFilter ref="A1:L9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200-000001000000}" name="UE-Nr." dataDxfId="397">
      <calculatedColumnFormula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calculatedColumnFormula>
    </tableColumn>
    <tableColumn id="2" xr3:uid="{00000000-0010-0000-0200-000002000000}" name="Abschn.-Nr." dataDxfId="396"/>
    <tableColumn id="3" xr3:uid="{00000000-0010-0000-0200-000003000000}" name="Abschn.-Bez." dataDxfId="395">
      <calculatedColumnFormula>IF(tblLehrgangsinhalte[[#This Row],[Abschn.-Nr.]]&lt;&gt;"",VLOOKUP(tblLehrgangsinhalte[[#This Row],[Abschn.-Nr.]],tblAbschnitte[],2,FALSE),"")</calculatedColumnFormula>
    </tableColumn>
    <tableColumn id="4" xr3:uid="{00000000-0010-0000-0200-000004000000}" name="Std.-Nr._x000a_(10-99)" dataDxfId="394"/>
    <tableColumn id="5" xr3:uid="{00000000-0010-0000-0200-000005000000}" name="Std.-Bez." dataDxfId="393"/>
    <tableColumn id="6" xr3:uid="{00000000-0010-0000-0200-000006000000}" name="TFL" dataDxfId="392"/>
    <tableColumn id="7" xr3:uid="{00000000-0010-0000-0200-000007000000}" name="Std.-Ansatz" dataDxfId="391"/>
    <tableColumn id="8" xr3:uid="{00000000-0010-0000-0200-000008000000}" name="Extern" dataDxfId="390"/>
    <tableColumn id="11" xr3:uid="{00000000-0010-0000-0200-00000B000000}" name="Std. Verplant" dataDxfId="389">
      <calculatedColumnFormula>IF(tblLehrgangsinhalte[[#This Row],[UE-Nr.]]&lt;&gt;"",COUNTIF(tblStundenplan[[Spalte2]:[Spalte365]],tblLehrgangsinhalte[[#This Row],[UE-Nr.]]&amp;"*"),"")</calculatedColumnFormula>
    </tableColumn>
    <tableColumn id="12" xr3:uid="{00000000-0010-0000-0200-00000C000000}" name="Std. Offen" dataDxfId="388">
      <calculatedColumnFormula>IF(tblLehrgangsinhalte[[#This Row],[UE-Nr.]]&lt;&gt;"",tblLehrgangsinhalte[[#This Row],[Std.-Ansatz]]-tblLehrgangsinhalte[[#This Row],[Std. Verplant]],"")</calculatedColumnFormula>
    </tableColumn>
    <tableColumn id="13" xr3:uid="{00000000-0010-0000-0200-00000D000000}" name="Std.-Inhalt" dataDxfId="387"/>
    <tableColumn id="14" xr3:uid="{00000000-0010-0000-0200-00000E000000}" name="Std.-Bemerkung" dataDxfId="3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Stundenplan" displayName="tblStundenplan" ref="A6:NA15" totalsRowShown="0" headerRowDxfId="382" headerRowBorderDxfId="381" tableBorderDxfId="380">
  <autoFilter ref="A6:NA1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  <filterColumn colId="200" hiddenButton="1"/>
    <filterColumn colId="201" hiddenButton="1"/>
    <filterColumn colId="202" hiddenButton="1"/>
    <filterColumn colId="203" hiddenButton="1"/>
    <filterColumn colId="204" hiddenButton="1"/>
    <filterColumn colId="205" hiddenButton="1"/>
    <filterColumn colId="206" hiddenButton="1"/>
    <filterColumn colId="207" hiddenButton="1"/>
    <filterColumn colId="208" hiddenButton="1"/>
    <filterColumn colId="209" hiddenButton="1"/>
    <filterColumn colId="210" hiddenButton="1"/>
    <filterColumn colId="211" hiddenButton="1"/>
    <filterColumn colId="212" hiddenButton="1"/>
    <filterColumn colId="213" hiddenButton="1"/>
    <filterColumn colId="214" hiddenButton="1"/>
    <filterColumn colId="215" hiddenButton="1"/>
    <filterColumn colId="216" hiddenButton="1"/>
    <filterColumn colId="217" hiddenButton="1"/>
    <filterColumn colId="218" hiddenButton="1"/>
    <filterColumn colId="219" hiddenButton="1"/>
    <filterColumn colId="220" hiddenButton="1"/>
    <filterColumn colId="221" hiddenButton="1"/>
    <filterColumn colId="222" hiddenButton="1"/>
    <filterColumn colId="223" hiddenButton="1"/>
    <filterColumn colId="224" hiddenButton="1"/>
    <filterColumn colId="225" hiddenButton="1"/>
    <filterColumn colId="226" hiddenButton="1"/>
    <filterColumn colId="227" hiddenButton="1"/>
    <filterColumn colId="228" hiddenButton="1"/>
    <filterColumn colId="229" hiddenButton="1"/>
    <filterColumn colId="230" hiddenButton="1"/>
    <filterColumn colId="231" hiddenButton="1"/>
    <filterColumn colId="232" hiddenButton="1"/>
    <filterColumn colId="233" hiddenButton="1"/>
    <filterColumn colId="234" hiddenButton="1"/>
    <filterColumn colId="235" hiddenButton="1"/>
    <filterColumn colId="236" hiddenButton="1"/>
    <filterColumn colId="237" hiddenButton="1"/>
    <filterColumn colId="238" hiddenButton="1"/>
    <filterColumn colId="239" hiddenButton="1"/>
    <filterColumn colId="240" hiddenButton="1"/>
    <filterColumn colId="241" hiddenButton="1"/>
    <filterColumn colId="242" hiddenButton="1"/>
    <filterColumn colId="243" hiddenButton="1"/>
    <filterColumn colId="244" hiddenButton="1"/>
    <filterColumn colId="245" hiddenButton="1"/>
    <filterColumn colId="246" hiddenButton="1"/>
    <filterColumn colId="247" hiddenButton="1"/>
    <filterColumn colId="248" hiddenButton="1"/>
    <filterColumn colId="249" hiddenButton="1"/>
    <filterColumn colId="250" hiddenButton="1"/>
    <filterColumn colId="251" hiddenButton="1"/>
    <filterColumn colId="252" hiddenButton="1"/>
    <filterColumn colId="253" hiddenButton="1"/>
    <filterColumn colId="254" hiddenButton="1"/>
    <filterColumn colId="255" hiddenButton="1"/>
    <filterColumn colId="256" hiddenButton="1"/>
    <filterColumn colId="257" hiddenButton="1"/>
    <filterColumn colId="258" hiddenButton="1"/>
    <filterColumn colId="259" hiddenButton="1"/>
    <filterColumn colId="260" hiddenButton="1"/>
    <filterColumn colId="261" hiddenButton="1"/>
    <filterColumn colId="262" hiddenButton="1"/>
    <filterColumn colId="263" hiddenButton="1"/>
    <filterColumn colId="264" hiddenButton="1"/>
    <filterColumn colId="265" hiddenButton="1"/>
    <filterColumn colId="266" hiddenButton="1"/>
    <filterColumn colId="267" hiddenButton="1"/>
    <filterColumn colId="268" hiddenButton="1"/>
    <filterColumn colId="269" hiddenButton="1"/>
    <filterColumn colId="270" hiddenButton="1"/>
    <filterColumn colId="271" hiddenButton="1"/>
    <filterColumn colId="272" hiddenButton="1"/>
    <filterColumn colId="273" hiddenButton="1"/>
    <filterColumn colId="274" hiddenButton="1"/>
    <filterColumn colId="275" hiddenButton="1"/>
    <filterColumn colId="276" hiddenButton="1"/>
    <filterColumn colId="277" hiddenButton="1"/>
    <filterColumn colId="278" hiddenButton="1"/>
    <filterColumn colId="279" hiddenButton="1"/>
    <filterColumn colId="280" hiddenButton="1"/>
    <filterColumn colId="281" hiddenButton="1"/>
    <filterColumn colId="282" hiddenButton="1"/>
    <filterColumn colId="283" hiddenButton="1"/>
    <filterColumn colId="284" hiddenButton="1"/>
    <filterColumn colId="285" hiddenButton="1"/>
    <filterColumn colId="286" hiddenButton="1"/>
    <filterColumn colId="287" hiddenButton="1"/>
    <filterColumn colId="288" hiddenButton="1"/>
    <filterColumn colId="289" hiddenButton="1"/>
    <filterColumn colId="290" hiddenButton="1"/>
    <filterColumn colId="291" hiddenButton="1"/>
    <filterColumn colId="292" hiddenButton="1"/>
    <filterColumn colId="293" hiddenButton="1"/>
    <filterColumn colId="294" hiddenButton="1"/>
    <filterColumn colId="295" hiddenButton="1"/>
    <filterColumn colId="296" hiddenButton="1"/>
    <filterColumn colId="297" hiddenButton="1"/>
    <filterColumn colId="298" hiddenButton="1"/>
    <filterColumn colId="299" hiddenButton="1"/>
    <filterColumn colId="300" hiddenButton="1"/>
    <filterColumn colId="301" hiddenButton="1"/>
    <filterColumn colId="302" hiddenButton="1"/>
    <filterColumn colId="303" hiddenButton="1"/>
    <filterColumn colId="304" hiddenButton="1"/>
    <filterColumn colId="305" hiddenButton="1"/>
    <filterColumn colId="306" hiddenButton="1"/>
    <filterColumn colId="307" hiddenButton="1"/>
    <filterColumn colId="308" hiddenButton="1"/>
    <filterColumn colId="309" hiddenButton="1"/>
    <filterColumn colId="310" hiddenButton="1"/>
    <filterColumn colId="311" hiddenButton="1"/>
    <filterColumn colId="312" hiddenButton="1"/>
    <filterColumn colId="313" hiddenButton="1"/>
    <filterColumn colId="314" hiddenButton="1"/>
    <filterColumn colId="315" hiddenButton="1"/>
    <filterColumn colId="316" hiddenButton="1"/>
    <filterColumn colId="317" hiddenButton="1"/>
    <filterColumn colId="318" hiddenButton="1"/>
    <filterColumn colId="319" hiddenButton="1"/>
    <filterColumn colId="320" hiddenButton="1"/>
    <filterColumn colId="321" hiddenButton="1"/>
    <filterColumn colId="322" hiddenButton="1"/>
    <filterColumn colId="323" hiddenButton="1"/>
    <filterColumn colId="324" hiddenButton="1"/>
    <filterColumn colId="325" hiddenButton="1"/>
    <filterColumn colId="326" hiddenButton="1"/>
    <filterColumn colId="327" hiddenButton="1"/>
    <filterColumn colId="328" hiddenButton="1"/>
    <filterColumn colId="329" hiddenButton="1"/>
    <filterColumn colId="330" hiddenButton="1"/>
    <filterColumn colId="331" hiddenButton="1"/>
    <filterColumn colId="332" hiddenButton="1"/>
    <filterColumn colId="333" hiddenButton="1"/>
    <filterColumn colId="334" hiddenButton="1"/>
    <filterColumn colId="335" hiddenButton="1"/>
    <filterColumn colId="336" hiddenButton="1"/>
    <filterColumn colId="337" hiddenButton="1"/>
    <filterColumn colId="338" hiddenButton="1"/>
    <filterColumn colId="339" hiddenButton="1"/>
    <filterColumn colId="340" hiddenButton="1"/>
    <filterColumn colId="341" hiddenButton="1"/>
    <filterColumn colId="342" hiddenButton="1"/>
    <filterColumn colId="343" hiddenButton="1"/>
    <filterColumn colId="344" hiddenButton="1"/>
    <filterColumn colId="345" hiddenButton="1"/>
    <filterColumn colId="346" hiddenButton="1"/>
    <filterColumn colId="347" hiddenButton="1"/>
    <filterColumn colId="348" hiddenButton="1"/>
    <filterColumn colId="349" hiddenButton="1"/>
    <filterColumn colId="350" hiddenButton="1"/>
    <filterColumn colId="351" hiddenButton="1"/>
    <filterColumn colId="352" hiddenButton="1"/>
    <filterColumn colId="353" hiddenButton="1"/>
    <filterColumn colId="354" hiddenButton="1"/>
    <filterColumn colId="355" hiddenButton="1"/>
    <filterColumn colId="356" hiddenButton="1"/>
    <filterColumn colId="357" hiddenButton="1"/>
    <filterColumn colId="358" hiddenButton="1"/>
    <filterColumn colId="359" hiddenButton="1"/>
    <filterColumn colId="360" hiddenButton="1"/>
    <filterColumn colId="361" hiddenButton="1"/>
    <filterColumn colId="362" hiddenButton="1"/>
    <filterColumn colId="363" hiddenButton="1"/>
    <filterColumn colId="364" hiddenButton="1"/>
  </autoFilter>
  <tableColumns count="365">
    <tableColumn id="1" xr3:uid="{00000000-0010-0000-0300-000001000000}" name="Spalte1" dataDxfId="379"/>
    <tableColumn id="2" xr3:uid="{00000000-0010-0000-0300-000002000000}" name="Spalte2" dataDxfId="378"/>
    <tableColumn id="3" xr3:uid="{00000000-0010-0000-0300-000003000000}" name="Spalte3" dataDxfId="377"/>
    <tableColumn id="4" xr3:uid="{00000000-0010-0000-0300-000004000000}" name="Spalte4" dataDxfId="376"/>
    <tableColumn id="5" xr3:uid="{00000000-0010-0000-0300-000005000000}" name="Spalte5" dataDxfId="375"/>
    <tableColumn id="6" xr3:uid="{00000000-0010-0000-0300-000006000000}" name="Spalte6" dataDxfId="374"/>
    <tableColumn id="7" xr3:uid="{00000000-0010-0000-0300-000007000000}" name="Spalte7" dataDxfId="373"/>
    <tableColumn id="8" xr3:uid="{00000000-0010-0000-0300-000008000000}" name="Spalte8" dataDxfId="372"/>
    <tableColumn id="9" xr3:uid="{00000000-0010-0000-0300-000009000000}" name="Spalte9" dataDxfId="371"/>
    <tableColumn id="10" xr3:uid="{00000000-0010-0000-0300-00000A000000}" name="Spalte10" dataDxfId="370"/>
    <tableColumn id="11" xr3:uid="{00000000-0010-0000-0300-00000B000000}" name="Spalte11" dataDxfId="369"/>
    <tableColumn id="12" xr3:uid="{00000000-0010-0000-0300-00000C000000}" name="Spalte12" dataDxfId="368"/>
    <tableColumn id="13" xr3:uid="{00000000-0010-0000-0300-00000D000000}" name="Spalte13" dataDxfId="367"/>
    <tableColumn id="14" xr3:uid="{00000000-0010-0000-0300-00000E000000}" name="Spalte14" dataDxfId="366"/>
    <tableColumn id="15" xr3:uid="{00000000-0010-0000-0300-00000F000000}" name="Spalte15" dataDxfId="365"/>
    <tableColumn id="16" xr3:uid="{00000000-0010-0000-0300-000010000000}" name="Spalte16" dataDxfId="364"/>
    <tableColumn id="17" xr3:uid="{00000000-0010-0000-0300-000011000000}" name="Spalte17" dataDxfId="363"/>
    <tableColumn id="18" xr3:uid="{00000000-0010-0000-0300-000012000000}" name="Spalte18" dataDxfId="362"/>
    <tableColumn id="19" xr3:uid="{00000000-0010-0000-0300-000013000000}" name="Spalte19" dataDxfId="361"/>
    <tableColumn id="20" xr3:uid="{00000000-0010-0000-0300-000014000000}" name="Spalte20" dataDxfId="360"/>
    <tableColumn id="21" xr3:uid="{00000000-0010-0000-0300-000015000000}" name="Spalte21" dataDxfId="359"/>
    <tableColumn id="22" xr3:uid="{00000000-0010-0000-0300-000016000000}" name="Spalte22" dataDxfId="358"/>
    <tableColumn id="23" xr3:uid="{00000000-0010-0000-0300-000017000000}" name="Spalte23" dataDxfId="357"/>
    <tableColumn id="24" xr3:uid="{00000000-0010-0000-0300-000018000000}" name="Spalte24" dataDxfId="356"/>
    <tableColumn id="25" xr3:uid="{00000000-0010-0000-0300-000019000000}" name="Spalte25" dataDxfId="355"/>
    <tableColumn id="26" xr3:uid="{00000000-0010-0000-0300-00001A000000}" name="Spalte26" dataDxfId="354"/>
    <tableColumn id="27" xr3:uid="{00000000-0010-0000-0300-00001B000000}" name="Spalte27" dataDxfId="353"/>
    <tableColumn id="28" xr3:uid="{00000000-0010-0000-0300-00001C000000}" name="Spalte28" dataDxfId="352"/>
    <tableColumn id="29" xr3:uid="{00000000-0010-0000-0300-00001D000000}" name="Spalte29" dataDxfId="351"/>
    <tableColumn id="30" xr3:uid="{00000000-0010-0000-0300-00001E000000}" name="Spalte30" dataDxfId="350"/>
    <tableColumn id="31" xr3:uid="{00000000-0010-0000-0300-00001F000000}" name="Spalte31" dataDxfId="349"/>
    <tableColumn id="32" xr3:uid="{00000000-0010-0000-0300-000020000000}" name="Spalte32" dataDxfId="348"/>
    <tableColumn id="33" xr3:uid="{00000000-0010-0000-0300-000021000000}" name="Spalte33" dataDxfId="347"/>
    <tableColumn id="34" xr3:uid="{00000000-0010-0000-0300-000022000000}" name="Spalte34" dataDxfId="346"/>
    <tableColumn id="35" xr3:uid="{00000000-0010-0000-0300-000023000000}" name="Spalte35" dataDxfId="345"/>
    <tableColumn id="36" xr3:uid="{00000000-0010-0000-0300-000024000000}" name="Spalte36" dataDxfId="344"/>
    <tableColumn id="37" xr3:uid="{00000000-0010-0000-0300-000025000000}" name="Spalte37" dataDxfId="343"/>
    <tableColumn id="38" xr3:uid="{00000000-0010-0000-0300-000026000000}" name="Spalte38" dataDxfId="342"/>
    <tableColumn id="39" xr3:uid="{00000000-0010-0000-0300-000027000000}" name="Spalte39" dataDxfId="341"/>
    <tableColumn id="40" xr3:uid="{00000000-0010-0000-0300-000028000000}" name="Spalte40" dataDxfId="340"/>
    <tableColumn id="41" xr3:uid="{00000000-0010-0000-0300-000029000000}" name="Spalte41" dataDxfId="339"/>
    <tableColumn id="42" xr3:uid="{00000000-0010-0000-0300-00002A000000}" name="Spalte42" dataDxfId="338"/>
    <tableColumn id="43" xr3:uid="{00000000-0010-0000-0300-00002B000000}" name="Spalte43" dataDxfId="337"/>
    <tableColumn id="44" xr3:uid="{00000000-0010-0000-0300-00002C000000}" name="Spalte44" dataDxfId="336"/>
    <tableColumn id="45" xr3:uid="{00000000-0010-0000-0300-00002D000000}" name="Spalte45" dataDxfId="335"/>
    <tableColumn id="46" xr3:uid="{00000000-0010-0000-0300-00002E000000}" name="Spalte46" dataDxfId="334"/>
    <tableColumn id="47" xr3:uid="{00000000-0010-0000-0300-00002F000000}" name="Spalte47" dataDxfId="333"/>
    <tableColumn id="48" xr3:uid="{00000000-0010-0000-0300-000030000000}" name="Spalte48" dataDxfId="332"/>
    <tableColumn id="49" xr3:uid="{00000000-0010-0000-0300-000031000000}" name="Spalte49" dataDxfId="331"/>
    <tableColumn id="50" xr3:uid="{00000000-0010-0000-0300-000032000000}" name="Spalte50" dataDxfId="330"/>
    <tableColumn id="51" xr3:uid="{00000000-0010-0000-0300-000033000000}" name="Spalte51" dataDxfId="329"/>
    <tableColumn id="52" xr3:uid="{00000000-0010-0000-0300-000034000000}" name="Spalte52" dataDxfId="328"/>
    <tableColumn id="53" xr3:uid="{00000000-0010-0000-0300-000035000000}" name="Spalte53" dataDxfId="327"/>
    <tableColumn id="54" xr3:uid="{00000000-0010-0000-0300-000036000000}" name="Spalte54" dataDxfId="326"/>
    <tableColumn id="55" xr3:uid="{00000000-0010-0000-0300-000037000000}" name="Spalte55" dataDxfId="325"/>
    <tableColumn id="56" xr3:uid="{00000000-0010-0000-0300-000038000000}" name="Spalte56" dataDxfId="324"/>
    <tableColumn id="57" xr3:uid="{00000000-0010-0000-0300-000039000000}" name="Spalte57" dataDxfId="323"/>
    <tableColumn id="58" xr3:uid="{00000000-0010-0000-0300-00003A000000}" name="Spalte58" dataDxfId="322"/>
    <tableColumn id="59" xr3:uid="{00000000-0010-0000-0300-00003B000000}" name="Spalte59" dataDxfId="321"/>
    <tableColumn id="60" xr3:uid="{00000000-0010-0000-0300-00003C000000}" name="Spalte60" dataDxfId="320"/>
    <tableColumn id="61" xr3:uid="{00000000-0010-0000-0300-00003D000000}" name="Spalte61" dataDxfId="319"/>
    <tableColumn id="62" xr3:uid="{00000000-0010-0000-0300-00003E000000}" name="Spalte62" dataDxfId="318"/>
    <tableColumn id="63" xr3:uid="{00000000-0010-0000-0300-00003F000000}" name="Spalte63" dataDxfId="317"/>
    <tableColumn id="64" xr3:uid="{00000000-0010-0000-0300-000040000000}" name="Spalte64" dataDxfId="316"/>
    <tableColumn id="65" xr3:uid="{00000000-0010-0000-0300-000041000000}" name="Spalte65" dataDxfId="315"/>
    <tableColumn id="66" xr3:uid="{00000000-0010-0000-0300-000042000000}" name="Spalte66" dataDxfId="314"/>
    <tableColumn id="67" xr3:uid="{00000000-0010-0000-0300-000043000000}" name="Spalte67" dataDxfId="313"/>
    <tableColumn id="68" xr3:uid="{00000000-0010-0000-0300-000044000000}" name="Spalte68" dataDxfId="312"/>
    <tableColumn id="69" xr3:uid="{00000000-0010-0000-0300-000045000000}" name="Spalte69" dataDxfId="311"/>
    <tableColumn id="70" xr3:uid="{00000000-0010-0000-0300-000046000000}" name="Spalte70" dataDxfId="310"/>
    <tableColumn id="71" xr3:uid="{00000000-0010-0000-0300-000047000000}" name="Spalte71" dataDxfId="309"/>
    <tableColumn id="72" xr3:uid="{00000000-0010-0000-0300-000048000000}" name="Spalte72" dataDxfId="308"/>
    <tableColumn id="73" xr3:uid="{00000000-0010-0000-0300-000049000000}" name="Spalte73" dataDxfId="307"/>
    <tableColumn id="74" xr3:uid="{00000000-0010-0000-0300-00004A000000}" name="Spalte74" dataDxfId="306"/>
    <tableColumn id="75" xr3:uid="{00000000-0010-0000-0300-00004B000000}" name="Spalte75" dataDxfId="305"/>
    <tableColumn id="76" xr3:uid="{00000000-0010-0000-0300-00004C000000}" name="Spalte76" dataDxfId="304"/>
    <tableColumn id="77" xr3:uid="{00000000-0010-0000-0300-00004D000000}" name="Spalte77" dataDxfId="303"/>
    <tableColumn id="78" xr3:uid="{00000000-0010-0000-0300-00004E000000}" name="Spalte78" dataDxfId="302"/>
    <tableColumn id="79" xr3:uid="{00000000-0010-0000-0300-00004F000000}" name="Spalte79" dataDxfId="301"/>
    <tableColumn id="80" xr3:uid="{00000000-0010-0000-0300-000050000000}" name="Spalte80" dataDxfId="300"/>
    <tableColumn id="81" xr3:uid="{00000000-0010-0000-0300-000051000000}" name="Spalte81" dataDxfId="299"/>
    <tableColumn id="82" xr3:uid="{00000000-0010-0000-0300-000052000000}" name="Spalte82" dataDxfId="298"/>
    <tableColumn id="83" xr3:uid="{00000000-0010-0000-0300-000053000000}" name="Spalte83" dataDxfId="297"/>
    <tableColumn id="84" xr3:uid="{00000000-0010-0000-0300-000054000000}" name="Spalte84" dataDxfId="296"/>
    <tableColumn id="85" xr3:uid="{00000000-0010-0000-0300-000055000000}" name="Spalte85" dataDxfId="295"/>
    <tableColumn id="86" xr3:uid="{00000000-0010-0000-0300-000056000000}" name="Spalte86" dataDxfId="294"/>
    <tableColumn id="87" xr3:uid="{00000000-0010-0000-0300-000057000000}" name="Spalte87" dataDxfId="293"/>
    <tableColumn id="88" xr3:uid="{00000000-0010-0000-0300-000058000000}" name="Spalte88" dataDxfId="292"/>
    <tableColumn id="89" xr3:uid="{00000000-0010-0000-0300-000059000000}" name="Spalte89" dataDxfId="291"/>
    <tableColumn id="90" xr3:uid="{00000000-0010-0000-0300-00005A000000}" name="Spalte90" dataDxfId="290"/>
    <tableColumn id="91" xr3:uid="{00000000-0010-0000-0300-00005B000000}" name="Spalte91" dataDxfId="289"/>
    <tableColumn id="92" xr3:uid="{00000000-0010-0000-0300-00005C000000}" name="Spalte92" dataDxfId="288"/>
    <tableColumn id="93" xr3:uid="{00000000-0010-0000-0300-00005D000000}" name="Spalte93" dataDxfId="287"/>
    <tableColumn id="94" xr3:uid="{00000000-0010-0000-0300-00005E000000}" name="Spalte94" dataDxfId="286"/>
    <tableColumn id="95" xr3:uid="{00000000-0010-0000-0300-00005F000000}" name="Spalte95" dataDxfId="285"/>
    <tableColumn id="96" xr3:uid="{00000000-0010-0000-0300-000060000000}" name="Spalte96" dataDxfId="284"/>
    <tableColumn id="97" xr3:uid="{00000000-0010-0000-0300-000061000000}" name="Spalte97" dataDxfId="283"/>
    <tableColumn id="98" xr3:uid="{00000000-0010-0000-0300-000062000000}" name="Spalte98" dataDxfId="282"/>
    <tableColumn id="99" xr3:uid="{00000000-0010-0000-0300-000063000000}" name="Spalte99" dataDxfId="281"/>
    <tableColumn id="100" xr3:uid="{00000000-0010-0000-0300-000064000000}" name="Spalte100" dataDxfId="280"/>
    <tableColumn id="101" xr3:uid="{00000000-0010-0000-0300-000065000000}" name="Spalte101" dataDxfId="279"/>
    <tableColumn id="102" xr3:uid="{00000000-0010-0000-0300-000066000000}" name="Spalte102" dataDxfId="278"/>
    <tableColumn id="103" xr3:uid="{00000000-0010-0000-0300-000067000000}" name="Spalte103" dataDxfId="277"/>
    <tableColumn id="104" xr3:uid="{00000000-0010-0000-0300-000068000000}" name="Spalte104" dataDxfId="276"/>
    <tableColumn id="105" xr3:uid="{00000000-0010-0000-0300-000069000000}" name="Spalte105" dataDxfId="275"/>
    <tableColumn id="106" xr3:uid="{00000000-0010-0000-0300-00006A000000}" name="Spalte106" dataDxfId="274"/>
    <tableColumn id="107" xr3:uid="{00000000-0010-0000-0300-00006B000000}" name="Spalte107" dataDxfId="273"/>
    <tableColumn id="108" xr3:uid="{00000000-0010-0000-0300-00006C000000}" name="Spalte108" dataDxfId="272"/>
    <tableColumn id="109" xr3:uid="{00000000-0010-0000-0300-00006D000000}" name="Spalte109" dataDxfId="271"/>
    <tableColumn id="110" xr3:uid="{00000000-0010-0000-0300-00006E000000}" name="Spalte110" dataDxfId="270"/>
    <tableColumn id="111" xr3:uid="{00000000-0010-0000-0300-00006F000000}" name="Spalte111" dataDxfId="269"/>
    <tableColumn id="112" xr3:uid="{00000000-0010-0000-0300-000070000000}" name="Spalte112" dataDxfId="268"/>
    <tableColumn id="113" xr3:uid="{00000000-0010-0000-0300-000071000000}" name="Spalte113" dataDxfId="267"/>
    <tableColumn id="114" xr3:uid="{00000000-0010-0000-0300-000072000000}" name="Spalte114" dataDxfId="266"/>
    <tableColumn id="115" xr3:uid="{00000000-0010-0000-0300-000073000000}" name="Spalte115" dataDxfId="265"/>
    <tableColumn id="116" xr3:uid="{00000000-0010-0000-0300-000074000000}" name="Spalte116" dataDxfId="264"/>
    <tableColumn id="117" xr3:uid="{00000000-0010-0000-0300-000075000000}" name="Spalte117" dataDxfId="263"/>
    <tableColumn id="118" xr3:uid="{00000000-0010-0000-0300-000076000000}" name="Spalte118" dataDxfId="262"/>
    <tableColumn id="119" xr3:uid="{00000000-0010-0000-0300-000077000000}" name="Spalte119" dataDxfId="261"/>
    <tableColumn id="120" xr3:uid="{00000000-0010-0000-0300-000078000000}" name="Spalte120" dataDxfId="260"/>
    <tableColumn id="121" xr3:uid="{00000000-0010-0000-0300-000079000000}" name="Spalte121" dataDxfId="259"/>
    <tableColumn id="122" xr3:uid="{00000000-0010-0000-0300-00007A000000}" name="Spalte122" dataDxfId="258"/>
    <tableColumn id="123" xr3:uid="{00000000-0010-0000-0300-00007B000000}" name="Spalte123" dataDxfId="257"/>
    <tableColumn id="124" xr3:uid="{00000000-0010-0000-0300-00007C000000}" name="Spalte124" dataDxfId="256"/>
    <tableColumn id="125" xr3:uid="{00000000-0010-0000-0300-00007D000000}" name="Spalte125" dataDxfId="255"/>
    <tableColumn id="126" xr3:uid="{00000000-0010-0000-0300-00007E000000}" name="Spalte126" dataDxfId="254"/>
    <tableColumn id="127" xr3:uid="{00000000-0010-0000-0300-00007F000000}" name="Spalte127" dataDxfId="253"/>
    <tableColumn id="128" xr3:uid="{00000000-0010-0000-0300-000080000000}" name="Spalte128" dataDxfId="252"/>
    <tableColumn id="129" xr3:uid="{00000000-0010-0000-0300-000081000000}" name="Spalte129" dataDxfId="251"/>
    <tableColumn id="130" xr3:uid="{00000000-0010-0000-0300-000082000000}" name="Spalte130" dataDxfId="250"/>
    <tableColumn id="131" xr3:uid="{00000000-0010-0000-0300-000083000000}" name="Spalte131" dataDxfId="249"/>
    <tableColumn id="132" xr3:uid="{00000000-0010-0000-0300-000084000000}" name="Spalte132" dataDxfId="248"/>
    <tableColumn id="133" xr3:uid="{00000000-0010-0000-0300-000085000000}" name="Spalte133" dataDxfId="247"/>
    <tableColumn id="134" xr3:uid="{00000000-0010-0000-0300-000086000000}" name="Spalte134" dataDxfId="246"/>
    <tableColumn id="135" xr3:uid="{00000000-0010-0000-0300-000087000000}" name="Spalte135" dataDxfId="245"/>
    <tableColumn id="136" xr3:uid="{00000000-0010-0000-0300-000088000000}" name="Spalte136" dataDxfId="244"/>
    <tableColumn id="137" xr3:uid="{00000000-0010-0000-0300-000089000000}" name="Spalte137" dataDxfId="243"/>
    <tableColumn id="138" xr3:uid="{00000000-0010-0000-0300-00008A000000}" name="Spalte138" dataDxfId="242"/>
    <tableColumn id="139" xr3:uid="{00000000-0010-0000-0300-00008B000000}" name="Spalte139" dataDxfId="241"/>
    <tableColumn id="140" xr3:uid="{00000000-0010-0000-0300-00008C000000}" name="Spalte140" dataDxfId="240"/>
    <tableColumn id="141" xr3:uid="{00000000-0010-0000-0300-00008D000000}" name="Spalte141" dataDxfId="239"/>
    <tableColumn id="142" xr3:uid="{00000000-0010-0000-0300-00008E000000}" name="Spalte142" dataDxfId="238"/>
    <tableColumn id="143" xr3:uid="{00000000-0010-0000-0300-00008F000000}" name="Spalte143" dataDxfId="237"/>
    <tableColumn id="144" xr3:uid="{00000000-0010-0000-0300-000090000000}" name="Spalte144" dataDxfId="236"/>
    <tableColumn id="145" xr3:uid="{00000000-0010-0000-0300-000091000000}" name="Spalte145" dataDxfId="235"/>
    <tableColumn id="146" xr3:uid="{00000000-0010-0000-0300-000092000000}" name="Spalte146" dataDxfId="234"/>
    <tableColumn id="147" xr3:uid="{00000000-0010-0000-0300-000093000000}" name="Spalte147" dataDxfId="233"/>
    <tableColumn id="148" xr3:uid="{00000000-0010-0000-0300-000094000000}" name="Spalte148" dataDxfId="232"/>
    <tableColumn id="149" xr3:uid="{00000000-0010-0000-0300-000095000000}" name="Spalte149" dataDxfId="231"/>
    <tableColumn id="150" xr3:uid="{00000000-0010-0000-0300-000096000000}" name="Spalte150" dataDxfId="230"/>
    <tableColumn id="151" xr3:uid="{00000000-0010-0000-0300-000097000000}" name="Spalte151" dataDxfId="229"/>
    <tableColumn id="152" xr3:uid="{00000000-0010-0000-0300-000098000000}" name="Spalte152" dataDxfId="228"/>
    <tableColumn id="153" xr3:uid="{00000000-0010-0000-0300-000099000000}" name="Spalte153" dataDxfId="227"/>
    <tableColumn id="154" xr3:uid="{00000000-0010-0000-0300-00009A000000}" name="Spalte154" dataDxfId="226"/>
    <tableColumn id="155" xr3:uid="{00000000-0010-0000-0300-00009B000000}" name="Spalte155" dataDxfId="225"/>
    <tableColumn id="156" xr3:uid="{00000000-0010-0000-0300-00009C000000}" name="Spalte156" dataDxfId="224"/>
    <tableColumn id="157" xr3:uid="{00000000-0010-0000-0300-00009D000000}" name="Spalte157" dataDxfId="223"/>
    <tableColumn id="158" xr3:uid="{00000000-0010-0000-0300-00009E000000}" name="Spalte158" dataDxfId="222"/>
    <tableColumn id="159" xr3:uid="{00000000-0010-0000-0300-00009F000000}" name="Spalte159" dataDxfId="221"/>
    <tableColumn id="160" xr3:uid="{00000000-0010-0000-0300-0000A0000000}" name="Spalte160" dataDxfId="220"/>
    <tableColumn id="161" xr3:uid="{00000000-0010-0000-0300-0000A1000000}" name="Spalte161" dataDxfId="219"/>
    <tableColumn id="162" xr3:uid="{00000000-0010-0000-0300-0000A2000000}" name="Spalte162" dataDxfId="218"/>
    <tableColumn id="163" xr3:uid="{00000000-0010-0000-0300-0000A3000000}" name="Spalte163" dataDxfId="217"/>
    <tableColumn id="164" xr3:uid="{00000000-0010-0000-0300-0000A4000000}" name="Spalte164" dataDxfId="216"/>
    <tableColumn id="165" xr3:uid="{00000000-0010-0000-0300-0000A5000000}" name="Spalte165" dataDxfId="215"/>
    <tableColumn id="166" xr3:uid="{00000000-0010-0000-0300-0000A6000000}" name="Spalte166" dataDxfId="214"/>
    <tableColumn id="167" xr3:uid="{00000000-0010-0000-0300-0000A7000000}" name="Spalte167" dataDxfId="213"/>
    <tableColumn id="168" xr3:uid="{00000000-0010-0000-0300-0000A8000000}" name="Spalte168" dataDxfId="212"/>
    <tableColumn id="169" xr3:uid="{00000000-0010-0000-0300-0000A9000000}" name="Spalte169" dataDxfId="211"/>
    <tableColumn id="170" xr3:uid="{00000000-0010-0000-0300-0000AA000000}" name="Spalte170" dataDxfId="210"/>
    <tableColumn id="171" xr3:uid="{00000000-0010-0000-0300-0000AB000000}" name="Spalte171" dataDxfId="209"/>
    <tableColumn id="172" xr3:uid="{00000000-0010-0000-0300-0000AC000000}" name="Spalte172" dataDxfId="208"/>
    <tableColumn id="173" xr3:uid="{00000000-0010-0000-0300-0000AD000000}" name="Spalte173" dataDxfId="207"/>
    <tableColumn id="174" xr3:uid="{00000000-0010-0000-0300-0000AE000000}" name="Spalte174" dataDxfId="206"/>
    <tableColumn id="175" xr3:uid="{00000000-0010-0000-0300-0000AF000000}" name="Spalte175" dataDxfId="205"/>
    <tableColumn id="176" xr3:uid="{00000000-0010-0000-0300-0000B0000000}" name="Spalte176" dataDxfId="204"/>
    <tableColumn id="177" xr3:uid="{00000000-0010-0000-0300-0000B1000000}" name="Spalte177" dataDxfId="203"/>
    <tableColumn id="178" xr3:uid="{00000000-0010-0000-0300-0000B2000000}" name="Spalte178" dataDxfId="202"/>
    <tableColumn id="179" xr3:uid="{00000000-0010-0000-0300-0000B3000000}" name="Spalte179" dataDxfId="201"/>
    <tableColumn id="180" xr3:uid="{00000000-0010-0000-0300-0000B4000000}" name="Spalte180" dataDxfId="200"/>
    <tableColumn id="181" xr3:uid="{00000000-0010-0000-0300-0000B5000000}" name="Spalte181" dataDxfId="199"/>
    <tableColumn id="182" xr3:uid="{00000000-0010-0000-0300-0000B6000000}" name="Spalte182" dataDxfId="198"/>
    <tableColumn id="183" xr3:uid="{00000000-0010-0000-0300-0000B7000000}" name="Spalte183" dataDxfId="197"/>
    <tableColumn id="184" xr3:uid="{00000000-0010-0000-0300-0000B8000000}" name="Spalte184" dataDxfId="196"/>
    <tableColumn id="185" xr3:uid="{00000000-0010-0000-0300-0000B9000000}" name="Spalte185" dataDxfId="195"/>
    <tableColumn id="186" xr3:uid="{00000000-0010-0000-0300-0000BA000000}" name="Spalte186" dataDxfId="194"/>
    <tableColumn id="187" xr3:uid="{00000000-0010-0000-0300-0000BB000000}" name="Spalte187" dataDxfId="193"/>
    <tableColumn id="188" xr3:uid="{00000000-0010-0000-0300-0000BC000000}" name="Spalte188" dataDxfId="192"/>
    <tableColumn id="189" xr3:uid="{00000000-0010-0000-0300-0000BD000000}" name="Spalte189" dataDxfId="191"/>
    <tableColumn id="190" xr3:uid="{00000000-0010-0000-0300-0000BE000000}" name="Spalte190" dataDxfId="190"/>
    <tableColumn id="191" xr3:uid="{00000000-0010-0000-0300-0000BF000000}" name="Spalte191" dataDxfId="189"/>
    <tableColumn id="192" xr3:uid="{00000000-0010-0000-0300-0000C0000000}" name="Spalte192" dataDxfId="188"/>
    <tableColumn id="193" xr3:uid="{00000000-0010-0000-0300-0000C1000000}" name="Spalte193" dataDxfId="187"/>
    <tableColumn id="194" xr3:uid="{00000000-0010-0000-0300-0000C2000000}" name="Spalte194" dataDxfId="186"/>
    <tableColumn id="195" xr3:uid="{00000000-0010-0000-0300-0000C3000000}" name="Spalte195" dataDxfId="185"/>
    <tableColumn id="196" xr3:uid="{00000000-0010-0000-0300-0000C4000000}" name="Spalte196" dataDxfId="184"/>
    <tableColumn id="197" xr3:uid="{00000000-0010-0000-0300-0000C5000000}" name="Spalte197" dataDxfId="183"/>
    <tableColumn id="198" xr3:uid="{00000000-0010-0000-0300-0000C6000000}" name="Spalte198" dataDxfId="182"/>
    <tableColumn id="199" xr3:uid="{00000000-0010-0000-0300-0000C7000000}" name="Spalte199" dataDxfId="181"/>
    <tableColumn id="200" xr3:uid="{00000000-0010-0000-0300-0000C8000000}" name="Spalte200" dataDxfId="180"/>
    <tableColumn id="201" xr3:uid="{00000000-0010-0000-0300-0000C9000000}" name="Spalte201" dataDxfId="179"/>
    <tableColumn id="202" xr3:uid="{00000000-0010-0000-0300-0000CA000000}" name="Spalte202" dataDxfId="178"/>
    <tableColumn id="203" xr3:uid="{00000000-0010-0000-0300-0000CB000000}" name="Spalte203" dataDxfId="177"/>
    <tableColumn id="204" xr3:uid="{00000000-0010-0000-0300-0000CC000000}" name="Spalte204" dataDxfId="176"/>
    <tableColumn id="205" xr3:uid="{00000000-0010-0000-0300-0000CD000000}" name="Spalte205" dataDxfId="175"/>
    <tableColumn id="206" xr3:uid="{00000000-0010-0000-0300-0000CE000000}" name="Spalte206" dataDxfId="174"/>
    <tableColumn id="207" xr3:uid="{00000000-0010-0000-0300-0000CF000000}" name="Spalte207" dataDxfId="173"/>
    <tableColumn id="208" xr3:uid="{00000000-0010-0000-0300-0000D0000000}" name="Spalte208" dataDxfId="172"/>
    <tableColumn id="209" xr3:uid="{00000000-0010-0000-0300-0000D1000000}" name="Spalte209" dataDxfId="171"/>
    <tableColumn id="210" xr3:uid="{00000000-0010-0000-0300-0000D2000000}" name="Spalte210" dataDxfId="170"/>
    <tableColumn id="211" xr3:uid="{00000000-0010-0000-0300-0000D3000000}" name="Spalte211" dataDxfId="169"/>
    <tableColumn id="212" xr3:uid="{00000000-0010-0000-0300-0000D4000000}" name="Spalte212" dataDxfId="168"/>
    <tableColumn id="213" xr3:uid="{00000000-0010-0000-0300-0000D5000000}" name="Spalte213" dataDxfId="167"/>
    <tableColumn id="214" xr3:uid="{00000000-0010-0000-0300-0000D6000000}" name="Spalte214" dataDxfId="166"/>
    <tableColumn id="215" xr3:uid="{00000000-0010-0000-0300-0000D7000000}" name="Spalte215" dataDxfId="165"/>
    <tableColumn id="216" xr3:uid="{00000000-0010-0000-0300-0000D8000000}" name="Spalte216" dataDxfId="164"/>
    <tableColumn id="217" xr3:uid="{00000000-0010-0000-0300-0000D9000000}" name="Spalte217" dataDxfId="163"/>
    <tableColumn id="218" xr3:uid="{00000000-0010-0000-0300-0000DA000000}" name="Spalte218" dataDxfId="162"/>
    <tableColumn id="219" xr3:uid="{00000000-0010-0000-0300-0000DB000000}" name="Spalte219" dataDxfId="161"/>
    <tableColumn id="220" xr3:uid="{00000000-0010-0000-0300-0000DC000000}" name="Spalte220" dataDxfId="160"/>
    <tableColumn id="221" xr3:uid="{00000000-0010-0000-0300-0000DD000000}" name="Spalte221" dataDxfId="159"/>
    <tableColumn id="222" xr3:uid="{00000000-0010-0000-0300-0000DE000000}" name="Spalte222" dataDxfId="158"/>
    <tableColumn id="223" xr3:uid="{00000000-0010-0000-0300-0000DF000000}" name="Spalte223" dataDxfId="157"/>
    <tableColumn id="224" xr3:uid="{00000000-0010-0000-0300-0000E0000000}" name="Spalte224" dataDxfId="156"/>
    <tableColumn id="225" xr3:uid="{00000000-0010-0000-0300-0000E1000000}" name="Spalte225" dataDxfId="155"/>
    <tableColumn id="226" xr3:uid="{00000000-0010-0000-0300-0000E2000000}" name="Spalte226" dataDxfId="154"/>
    <tableColumn id="227" xr3:uid="{00000000-0010-0000-0300-0000E3000000}" name="Spalte227" dataDxfId="153"/>
    <tableColumn id="228" xr3:uid="{00000000-0010-0000-0300-0000E4000000}" name="Spalte228" dataDxfId="152"/>
    <tableColumn id="229" xr3:uid="{00000000-0010-0000-0300-0000E5000000}" name="Spalte229" dataDxfId="151"/>
    <tableColumn id="230" xr3:uid="{00000000-0010-0000-0300-0000E6000000}" name="Spalte230" dataDxfId="150"/>
    <tableColumn id="231" xr3:uid="{00000000-0010-0000-0300-0000E7000000}" name="Spalte231" dataDxfId="149"/>
    <tableColumn id="232" xr3:uid="{00000000-0010-0000-0300-0000E8000000}" name="Spalte232" dataDxfId="148"/>
    <tableColumn id="233" xr3:uid="{00000000-0010-0000-0300-0000E9000000}" name="Spalte233" dataDxfId="147"/>
    <tableColumn id="234" xr3:uid="{00000000-0010-0000-0300-0000EA000000}" name="Spalte234" dataDxfId="146"/>
    <tableColumn id="235" xr3:uid="{00000000-0010-0000-0300-0000EB000000}" name="Spalte235" dataDxfId="145"/>
    <tableColumn id="236" xr3:uid="{00000000-0010-0000-0300-0000EC000000}" name="Spalte236" dataDxfId="144"/>
    <tableColumn id="237" xr3:uid="{00000000-0010-0000-0300-0000ED000000}" name="Spalte237" dataDxfId="143"/>
    <tableColumn id="238" xr3:uid="{00000000-0010-0000-0300-0000EE000000}" name="Spalte238" dataDxfId="142"/>
    <tableColumn id="239" xr3:uid="{00000000-0010-0000-0300-0000EF000000}" name="Spalte239" dataDxfId="141"/>
    <tableColumn id="240" xr3:uid="{00000000-0010-0000-0300-0000F0000000}" name="Spalte240" dataDxfId="140"/>
    <tableColumn id="241" xr3:uid="{00000000-0010-0000-0300-0000F1000000}" name="Spalte241" dataDxfId="139"/>
    <tableColumn id="242" xr3:uid="{00000000-0010-0000-0300-0000F2000000}" name="Spalte242" dataDxfId="138"/>
    <tableColumn id="243" xr3:uid="{00000000-0010-0000-0300-0000F3000000}" name="Spalte243" dataDxfId="137"/>
    <tableColumn id="244" xr3:uid="{00000000-0010-0000-0300-0000F4000000}" name="Spalte244" dataDxfId="136"/>
    <tableColumn id="245" xr3:uid="{00000000-0010-0000-0300-0000F5000000}" name="Spalte245" dataDxfId="135"/>
    <tableColumn id="246" xr3:uid="{00000000-0010-0000-0300-0000F6000000}" name="Spalte246" dataDxfId="134"/>
    <tableColumn id="247" xr3:uid="{00000000-0010-0000-0300-0000F7000000}" name="Spalte247" dataDxfId="133"/>
    <tableColumn id="248" xr3:uid="{00000000-0010-0000-0300-0000F8000000}" name="Spalte248" dataDxfId="132"/>
    <tableColumn id="249" xr3:uid="{00000000-0010-0000-0300-0000F9000000}" name="Spalte249" dataDxfId="131"/>
    <tableColumn id="250" xr3:uid="{00000000-0010-0000-0300-0000FA000000}" name="Spalte250" dataDxfId="130"/>
    <tableColumn id="251" xr3:uid="{00000000-0010-0000-0300-0000FB000000}" name="Spalte251" dataDxfId="129"/>
    <tableColumn id="252" xr3:uid="{00000000-0010-0000-0300-0000FC000000}" name="Spalte252" dataDxfId="128"/>
    <tableColumn id="253" xr3:uid="{00000000-0010-0000-0300-0000FD000000}" name="Spalte253" dataDxfId="127"/>
    <tableColumn id="254" xr3:uid="{00000000-0010-0000-0300-0000FE000000}" name="Spalte254" dataDxfId="126"/>
    <tableColumn id="255" xr3:uid="{00000000-0010-0000-0300-0000FF000000}" name="Spalte255" dataDxfId="125"/>
    <tableColumn id="256" xr3:uid="{00000000-0010-0000-0300-000000010000}" name="Spalte256" dataDxfId="124"/>
    <tableColumn id="257" xr3:uid="{00000000-0010-0000-0300-000001010000}" name="Spalte257" dataDxfId="123"/>
    <tableColumn id="258" xr3:uid="{00000000-0010-0000-0300-000002010000}" name="Spalte258" dataDxfId="122"/>
    <tableColumn id="259" xr3:uid="{00000000-0010-0000-0300-000003010000}" name="Spalte259" dataDxfId="121"/>
    <tableColumn id="260" xr3:uid="{00000000-0010-0000-0300-000004010000}" name="Spalte260" dataDxfId="120"/>
    <tableColumn id="261" xr3:uid="{00000000-0010-0000-0300-000005010000}" name="Spalte261" dataDxfId="119"/>
    <tableColumn id="262" xr3:uid="{00000000-0010-0000-0300-000006010000}" name="Spalte262" dataDxfId="118"/>
    <tableColumn id="263" xr3:uid="{00000000-0010-0000-0300-000007010000}" name="Spalte263" dataDxfId="117"/>
    <tableColumn id="264" xr3:uid="{00000000-0010-0000-0300-000008010000}" name="Spalte264" dataDxfId="116"/>
    <tableColumn id="265" xr3:uid="{00000000-0010-0000-0300-000009010000}" name="Spalte265" dataDxfId="115"/>
    <tableColumn id="266" xr3:uid="{00000000-0010-0000-0300-00000A010000}" name="Spalte266" dataDxfId="114"/>
    <tableColumn id="267" xr3:uid="{00000000-0010-0000-0300-00000B010000}" name="Spalte267" dataDxfId="113"/>
    <tableColumn id="268" xr3:uid="{00000000-0010-0000-0300-00000C010000}" name="Spalte268" dataDxfId="112"/>
    <tableColumn id="269" xr3:uid="{00000000-0010-0000-0300-00000D010000}" name="Spalte269" dataDxfId="111"/>
    <tableColumn id="270" xr3:uid="{00000000-0010-0000-0300-00000E010000}" name="Spalte270" dataDxfId="110"/>
    <tableColumn id="271" xr3:uid="{00000000-0010-0000-0300-00000F010000}" name="Spalte271" dataDxfId="109"/>
    <tableColumn id="272" xr3:uid="{00000000-0010-0000-0300-000010010000}" name="Spalte272" dataDxfId="108"/>
    <tableColumn id="273" xr3:uid="{00000000-0010-0000-0300-000011010000}" name="Spalte273" dataDxfId="107"/>
    <tableColumn id="274" xr3:uid="{00000000-0010-0000-0300-000012010000}" name="Spalte274" dataDxfId="106"/>
    <tableColumn id="275" xr3:uid="{00000000-0010-0000-0300-000013010000}" name="Spalte275" dataDxfId="105"/>
    <tableColumn id="276" xr3:uid="{00000000-0010-0000-0300-000014010000}" name="Spalte276" dataDxfId="104"/>
    <tableColumn id="277" xr3:uid="{00000000-0010-0000-0300-000015010000}" name="Spalte277" dataDxfId="103"/>
    <tableColumn id="278" xr3:uid="{00000000-0010-0000-0300-000016010000}" name="Spalte278" dataDxfId="102"/>
    <tableColumn id="279" xr3:uid="{00000000-0010-0000-0300-000017010000}" name="Spalte279" dataDxfId="101"/>
    <tableColumn id="280" xr3:uid="{00000000-0010-0000-0300-000018010000}" name="Spalte280" dataDxfId="100"/>
    <tableColumn id="281" xr3:uid="{00000000-0010-0000-0300-000019010000}" name="Spalte281" dataDxfId="99"/>
    <tableColumn id="282" xr3:uid="{00000000-0010-0000-0300-00001A010000}" name="Spalte282" dataDxfId="98"/>
    <tableColumn id="283" xr3:uid="{00000000-0010-0000-0300-00001B010000}" name="Spalte283" dataDxfId="97"/>
    <tableColumn id="284" xr3:uid="{00000000-0010-0000-0300-00001C010000}" name="Spalte284" dataDxfId="96"/>
    <tableColumn id="285" xr3:uid="{00000000-0010-0000-0300-00001D010000}" name="Spalte285" dataDxfId="95"/>
    <tableColumn id="286" xr3:uid="{00000000-0010-0000-0300-00001E010000}" name="Spalte286" dataDxfId="94"/>
    <tableColumn id="287" xr3:uid="{00000000-0010-0000-0300-00001F010000}" name="Spalte287" dataDxfId="93"/>
    <tableColumn id="288" xr3:uid="{00000000-0010-0000-0300-000020010000}" name="Spalte288" dataDxfId="92"/>
    <tableColumn id="289" xr3:uid="{00000000-0010-0000-0300-000021010000}" name="Spalte289" dataDxfId="91"/>
    <tableColumn id="290" xr3:uid="{00000000-0010-0000-0300-000022010000}" name="Spalte290" dataDxfId="90"/>
    <tableColumn id="291" xr3:uid="{00000000-0010-0000-0300-000023010000}" name="Spalte291" dataDxfId="89"/>
    <tableColumn id="292" xr3:uid="{00000000-0010-0000-0300-000024010000}" name="Spalte292" dataDxfId="88"/>
    <tableColumn id="293" xr3:uid="{00000000-0010-0000-0300-000025010000}" name="Spalte293" dataDxfId="87"/>
    <tableColumn id="294" xr3:uid="{00000000-0010-0000-0300-000026010000}" name="Spalte294" dataDxfId="86"/>
    <tableColumn id="295" xr3:uid="{00000000-0010-0000-0300-000027010000}" name="Spalte295" dataDxfId="85"/>
    <tableColumn id="296" xr3:uid="{00000000-0010-0000-0300-000028010000}" name="Spalte296" dataDxfId="84"/>
    <tableColumn id="297" xr3:uid="{00000000-0010-0000-0300-000029010000}" name="Spalte297" dataDxfId="83"/>
    <tableColumn id="298" xr3:uid="{00000000-0010-0000-0300-00002A010000}" name="Spalte298" dataDxfId="82"/>
    <tableColumn id="299" xr3:uid="{00000000-0010-0000-0300-00002B010000}" name="Spalte299" dataDxfId="81"/>
    <tableColumn id="300" xr3:uid="{00000000-0010-0000-0300-00002C010000}" name="Spalte300" dataDxfId="80"/>
    <tableColumn id="301" xr3:uid="{00000000-0010-0000-0300-00002D010000}" name="Spalte301" dataDxfId="79"/>
    <tableColumn id="302" xr3:uid="{00000000-0010-0000-0300-00002E010000}" name="Spalte302" dataDxfId="78"/>
    <tableColumn id="303" xr3:uid="{00000000-0010-0000-0300-00002F010000}" name="Spalte303" dataDxfId="77"/>
    <tableColumn id="304" xr3:uid="{00000000-0010-0000-0300-000030010000}" name="Spalte304" dataDxfId="76"/>
    <tableColumn id="305" xr3:uid="{00000000-0010-0000-0300-000031010000}" name="Spalte305" dataDxfId="75"/>
    <tableColumn id="306" xr3:uid="{00000000-0010-0000-0300-000032010000}" name="Spalte306" dataDxfId="74"/>
    <tableColumn id="307" xr3:uid="{00000000-0010-0000-0300-000033010000}" name="Spalte307" dataDxfId="73"/>
    <tableColumn id="308" xr3:uid="{00000000-0010-0000-0300-000034010000}" name="Spalte308" dataDxfId="72"/>
    <tableColumn id="309" xr3:uid="{00000000-0010-0000-0300-000035010000}" name="Spalte309" dataDxfId="71"/>
    <tableColumn id="310" xr3:uid="{00000000-0010-0000-0300-000036010000}" name="Spalte310" dataDxfId="70"/>
    <tableColumn id="311" xr3:uid="{00000000-0010-0000-0300-000037010000}" name="Spalte311" dataDxfId="69"/>
    <tableColumn id="312" xr3:uid="{00000000-0010-0000-0300-000038010000}" name="Spalte312" dataDxfId="68"/>
    <tableColumn id="313" xr3:uid="{00000000-0010-0000-0300-000039010000}" name="Spalte313" dataDxfId="67"/>
    <tableColumn id="314" xr3:uid="{00000000-0010-0000-0300-00003A010000}" name="Spalte314" dataDxfId="66"/>
    <tableColumn id="315" xr3:uid="{00000000-0010-0000-0300-00003B010000}" name="Spalte315" dataDxfId="65"/>
    <tableColumn id="316" xr3:uid="{00000000-0010-0000-0300-00003C010000}" name="Spalte316" dataDxfId="64"/>
    <tableColumn id="317" xr3:uid="{00000000-0010-0000-0300-00003D010000}" name="Spalte317" dataDxfId="63"/>
    <tableColumn id="318" xr3:uid="{00000000-0010-0000-0300-00003E010000}" name="Spalte318" dataDxfId="62"/>
    <tableColumn id="319" xr3:uid="{00000000-0010-0000-0300-00003F010000}" name="Spalte319" dataDxfId="61"/>
    <tableColumn id="320" xr3:uid="{00000000-0010-0000-0300-000040010000}" name="Spalte320" dataDxfId="60"/>
    <tableColumn id="321" xr3:uid="{00000000-0010-0000-0300-000041010000}" name="Spalte321" dataDxfId="59"/>
    <tableColumn id="322" xr3:uid="{00000000-0010-0000-0300-000042010000}" name="Spalte322" dataDxfId="58"/>
    <tableColumn id="323" xr3:uid="{00000000-0010-0000-0300-000043010000}" name="Spalte323" dataDxfId="57"/>
    <tableColumn id="324" xr3:uid="{00000000-0010-0000-0300-000044010000}" name="Spalte324" dataDxfId="56"/>
    <tableColumn id="325" xr3:uid="{00000000-0010-0000-0300-000045010000}" name="Spalte325" dataDxfId="55"/>
    <tableColumn id="326" xr3:uid="{00000000-0010-0000-0300-000046010000}" name="Spalte326" dataDxfId="54"/>
    <tableColumn id="327" xr3:uid="{00000000-0010-0000-0300-000047010000}" name="Spalte327" dataDxfId="53"/>
    <tableColumn id="328" xr3:uid="{00000000-0010-0000-0300-000048010000}" name="Spalte328" dataDxfId="52"/>
    <tableColumn id="329" xr3:uid="{00000000-0010-0000-0300-000049010000}" name="Spalte329" dataDxfId="51"/>
    <tableColumn id="330" xr3:uid="{00000000-0010-0000-0300-00004A010000}" name="Spalte330" dataDxfId="50"/>
    <tableColumn id="331" xr3:uid="{00000000-0010-0000-0300-00004B010000}" name="Spalte331" dataDxfId="49"/>
    <tableColumn id="332" xr3:uid="{00000000-0010-0000-0300-00004C010000}" name="Spalte332" dataDxfId="48"/>
    <tableColumn id="333" xr3:uid="{00000000-0010-0000-0300-00004D010000}" name="Spalte333" dataDxfId="47"/>
    <tableColumn id="334" xr3:uid="{00000000-0010-0000-0300-00004E010000}" name="Spalte334" dataDxfId="46"/>
    <tableColumn id="335" xr3:uid="{00000000-0010-0000-0300-00004F010000}" name="Spalte335" dataDxfId="45"/>
    <tableColumn id="336" xr3:uid="{00000000-0010-0000-0300-000050010000}" name="Spalte336" dataDxfId="44"/>
    <tableColumn id="337" xr3:uid="{00000000-0010-0000-0300-000051010000}" name="Spalte337" dataDxfId="43"/>
    <tableColumn id="338" xr3:uid="{00000000-0010-0000-0300-000052010000}" name="Spalte338" dataDxfId="42"/>
    <tableColumn id="339" xr3:uid="{00000000-0010-0000-0300-000053010000}" name="Spalte339" dataDxfId="41"/>
    <tableColumn id="340" xr3:uid="{00000000-0010-0000-0300-000054010000}" name="Spalte340" dataDxfId="40"/>
    <tableColumn id="341" xr3:uid="{00000000-0010-0000-0300-000055010000}" name="Spalte341" dataDxfId="39"/>
    <tableColumn id="342" xr3:uid="{00000000-0010-0000-0300-000056010000}" name="Spalte342" dataDxfId="38"/>
    <tableColumn id="343" xr3:uid="{00000000-0010-0000-0300-000057010000}" name="Spalte343" dataDxfId="37"/>
    <tableColumn id="344" xr3:uid="{00000000-0010-0000-0300-000058010000}" name="Spalte344" dataDxfId="36"/>
    <tableColumn id="345" xr3:uid="{00000000-0010-0000-0300-000059010000}" name="Spalte345" dataDxfId="35"/>
    <tableColumn id="346" xr3:uid="{00000000-0010-0000-0300-00005A010000}" name="Spalte346" dataDxfId="34"/>
    <tableColumn id="347" xr3:uid="{00000000-0010-0000-0300-00005B010000}" name="Spalte347" dataDxfId="33"/>
    <tableColumn id="348" xr3:uid="{00000000-0010-0000-0300-00005C010000}" name="Spalte348" dataDxfId="32"/>
    <tableColumn id="349" xr3:uid="{00000000-0010-0000-0300-00005D010000}" name="Spalte349" dataDxfId="31"/>
    <tableColumn id="350" xr3:uid="{00000000-0010-0000-0300-00005E010000}" name="Spalte350" dataDxfId="30"/>
    <tableColumn id="351" xr3:uid="{00000000-0010-0000-0300-00005F010000}" name="Spalte351" dataDxfId="29"/>
    <tableColumn id="352" xr3:uid="{00000000-0010-0000-0300-000060010000}" name="Spalte352" dataDxfId="28"/>
    <tableColumn id="353" xr3:uid="{00000000-0010-0000-0300-000061010000}" name="Spalte353" dataDxfId="27"/>
    <tableColumn id="354" xr3:uid="{00000000-0010-0000-0300-000062010000}" name="Spalte354" dataDxfId="26"/>
    <tableColumn id="355" xr3:uid="{00000000-0010-0000-0300-000063010000}" name="Spalte355" dataDxfId="25"/>
    <tableColumn id="356" xr3:uid="{00000000-0010-0000-0300-000064010000}" name="Spalte356" dataDxfId="24"/>
    <tableColumn id="357" xr3:uid="{00000000-0010-0000-0300-000065010000}" name="Spalte357" dataDxfId="23"/>
    <tableColumn id="358" xr3:uid="{00000000-0010-0000-0300-000066010000}" name="Spalte358" dataDxfId="22"/>
    <tableColumn id="359" xr3:uid="{00000000-0010-0000-0300-000067010000}" name="Spalte359" dataDxfId="21"/>
    <tableColumn id="360" xr3:uid="{00000000-0010-0000-0300-000068010000}" name="Spalte360" dataDxfId="20"/>
    <tableColumn id="361" xr3:uid="{00000000-0010-0000-0300-000069010000}" name="Spalte361" dataDxfId="19"/>
    <tableColumn id="362" xr3:uid="{00000000-0010-0000-0300-00006A010000}" name="Spalte362" dataDxfId="18"/>
    <tableColumn id="363" xr3:uid="{00000000-0010-0000-0300-00006B010000}" name="Spalte363" dataDxfId="17"/>
    <tableColumn id="364" xr3:uid="{00000000-0010-0000-0300-00006C010000}" name="Spalte364" dataDxfId="16"/>
    <tableColumn id="365" xr3:uid="{00000000-0010-0000-0300-00006D010000}" name="Spalte365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le6" displayName="Tabelle6" ref="B6:I15" totalsRowShown="0" headerRowDxfId="11" dataDxfId="9" headerRowBorderDxfId="10" tableBorderDxfId="8">
  <autoFilter ref="B6:I15" xr:uid="{00000000-0009-0000-0100-000006000000}"/>
  <tableColumns count="8">
    <tableColumn id="1" xr3:uid="{00000000-0010-0000-0400-000001000000}" name="Spalte1" dataDxfId="7"/>
    <tableColumn id="2" xr3:uid="{00000000-0010-0000-0400-000002000000}" name="Spalte2" dataDxfId="6">
      <calculatedColumnFormula>IF(HLOOKUP(C$5,Stundenplan!$B$5:$NA$15,$A7,FALSE)&lt;&gt;"",HLOOKUP(C$5,Stundenplan!$B$5:$NA$15,$A7,FALSE),"")</calculatedColumnFormula>
    </tableColumn>
    <tableColumn id="3" xr3:uid="{00000000-0010-0000-0400-000003000000}" name="Spalte3" dataDxfId="5">
      <calculatedColumnFormula>IF(HLOOKUP(D$5,Stundenplan!$B$5:$NA$15,$A7,FALSE)&lt;&gt;"",HLOOKUP(D$5,Stundenplan!$B$5:$NA$15,$A7,FALSE),"")</calculatedColumnFormula>
    </tableColumn>
    <tableColumn id="4" xr3:uid="{00000000-0010-0000-0400-000004000000}" name="Spalte4" dataDxfId="4">
      <calculatedColumnFormula>IF(HLOOKUP(E$5,Stundenplan!$B$5:$NA$15,$A7,FALSE)&lt;&gt;"",HLOOKUP(E$5,Stundenplan!$B$5:$NA$15,$A7,FALSE),"")</calculatedColumnFormula>
    </tableColumn>
    <tableColumn id="5" xr3:uid="{00000000-0010-0000-0400-000005000000}" name="Spalte5" dataDxfId="3">
      <calculatedColumnFormula>IF(HLOOKUP(F$5,Stundenplan!$B$5:$NA$15,$A7,FALSE)&lt;&gt;"",HLOOKUP(F$5,Stundenplan!$B$5:$NA$15,$A7,FALSE),"")</calculatedColumnFormula>
    </tableColumn>
    <tableColumn id="6" xr3:uid="{00000000-0010-0000-0400-000006000000}" name="Spalte6" dataDxfId="2">
      <calculatedColumnFormula>IF(HLOOKUP(G$5,Stundenplan!$B$5:$NA$15,$A7,FALSE)&lt;&gt;"",HLOOKUP(G$5,Stundenplan!$B$5:$NA$15,$A7,FALSE),"")</calculatedColumnFormula>
    </tableColumn>
    <tableColumn id="7" xr3:uid="{00000000-0010-0000-0400-000007000000}" name="Spalte7" dataDxfId="1">
      <calculatedColumnFormula>IF(HLOOKUP(H$5,Stundenplan!$B$5:$NA$15,$A7,FALSE)&lt;&gt;"",HLOOKUP(H$5,Stundenplan!$B$5:$NA$15,$A7,FALSE),"")</calculatedColumnFormula>
    </tableColumn>
    <tableColumn id="8" xr3:uid="{00000000-0010-0000-0400-000008000000}" name="Spalte8" dataDxfId="0">
      <calculatedColumnFormula>IF(HLOOKUP(I$5,Stundenplan!$B$5:$NA$15,$A7,FALSE)&lt;&gt;"",HLOOKUP(I$5,Stundenplan!$B$5:$NA$15,$A7,FALSE),"")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Grundeinstellungen"/>
  <dimension ref="A1:J31"/>
  <sheetViews>
    <sheetView showRowColHeaders="0" zoomScale="85" zoomScaleNormal="85" workbookViewId="0">
      <selection activeCell="B1" sqref="B1"/>
    </sheetView>
  </sheetViews>
  <sheetFormatPr baseColWidth="10" defaultRowHeight="15" x14ac:dyDescent="0.25"/>
  <cols>
    <col min="1" max="1" width="22.28515625" style="1" customWidth="1"/>
    <col min="2" max="2" width="10.140625" bestFit="1" customWidth="1"/>
    <col min="3" max="3" width="30.42578125" style="1" customWidth="1"/>
    <col min="4" max="4" width="13.5703125" style="1" customWidth="1"/>
    <col min="5" max="5" width="22.28515625" bestFit="1" customWidth="1"/>
    <col min="7" max="7" width="4.85546875" bestFit="1" customWidth="1"/>
    <col min="9" max="9" width="6" bestFit="1" customWidth="1"/>
  </cols>
  <sheetData>
    <row r="1" spans="1:10" x14ac:dyDescent="0.25">
      <c r="A1" s="24" t="s">
        <v>0</v>
      </c>
      <c r="B1" s="2">
        <v>45201</v>
      </c>
      <c r="D1" s="11" t="s">
        <v>18</v>
      </c>
      <c r="E1" s="12" t="s">
        <v>19</v>
      </c>
      <c r="G1" s="8" t="s">
        <v>26</v>
      </c>
      <c r="H1" s="6" t="s">
        <v>27</v>
      </c>
      <c r="I1" s="6" t="s">
        <v>28</v>
      </c>
      <c r="J1" s="7" t="s">
        <v>29</v>
      </c>
    </row>
    <row r="2" spans="1:10" x14ac:dyDescent="0.25">
      <c r="D2" s="91">
        <v>10</v>
      </c>
      <c r="E2" s="113" t="s">
        <v>20</v>
      </c>
      <c r="G2" s="120"/>
      <c r="H2" s="94" t="s">
        <v>430</v>
      </c>
      <c r="I2" s="121"/>
      <c r="J2" s="143">
        <f>IF(tblTFL[[#This Row],[Name]]&lt;&gt;"",COUNTIF(tblStundenplan[[Spalte2]:[Spalte365]],"*"&amp;tblTFL[[#This Row],[Name]]),"")</f>
        <v>0</v>
      </c>
    </row>
    <row r="3" spans="1:10" s="1" customFormat="1" x14ac:dyDescent="0.25">
      <c r="A3" s="5" t="s">
        <v>2</v>
      </c>
      <c r="D3" s="91">
        <v>20</v>
      </c>
      <c r="E3" s="113" t="s">
        <v>21</v>
      </c>
      <c r="G3" s="122" t="s">
        <v>34</v>
      </c>
      <c r="H3" s="94" t="s">
        <v>431</v>
      </c>
      <c r="I3" s="123"/>
      <c r="J3" s="143">
        <f>IF(tblTFL[[#This Row],[Name]]&lt;&gt;"",COUNTIF(tblStundenplan[[Spalte2]:[Spalte365]],"*"&amp;tblTFL[[#This Row],[Name]]),"")</f>
        <v>1</v>
      </c>
    </row>
    <row r="4" spans="1:10" s="1" customFormat="1" x14ac:dyDescent="0.25">
      <c r="D4" s="91">
        <v>30</v>
      </c>
      <c r="E4" s="113" t="s">
        <v>22</v>
      </c>
      <c r="G4" s="122" t="s">
        <v>34</v>
      </c>
      <c r="H4" s="94" t="s">
        <v>432</v>
      </c>
      <c r="I4" s="124"/>
      <c r="J4" s="143">
        <f>IF(tblTFL[[#This Row],[Name]]&lt;&gt;"",COUNTIF(tblStundenplan[[Spalte2]:[Spalte365]],"*"&amp;tblTFL[[#This Row],[Name]]),"")</f>
        <v>2</v>
      </c>
    </row>
    <row r="5" spans="1:10" s="1" customFormat="1" x14ac:dyDescent="0.25">
      <c r="D5" s="91">
        <v>40</v>
      </c>
      <c r="E5" s="113" t="s">
        <v>23</v>
      </c>
      <c r="G5" s="120" t="s">
        <v>36</v>
      </c>
      <c r="H5" s="94" t="s">
        <v>433</v>
      </c>
      <c r="I5" s="125"/>
      <c r="J5" s="143">
        <f>IF(tblTFL[[#This Row],[Name]]&lt;&gt;"",COUNTIF(tblStundenplan[[Spalte2]:[Spalte365]],"*"&amp;tblTFL[[#This Row],[Name]]),"")</f>
        <v>0</v>
      </c>
    </row>
    <row r="6" spans="1:10" s="1" customFormat="1" x14ac:dyDescent="0.25">
      <c r="D6" s="91">
        <v>50</v>
      </c>
      <c r="E6" s="113" t="s">
        <v>24</v>
      </c>
      <c r="G6" s="122" t="s">
        <v>30</v>
      </c>
      <c r="H6" s="94" t="s">
        <v>434</v>
      </c>
      <c r="I6" s="126"/>
      <c r="J6" s="143">
        <f>IF(tblTFL[[#This Row],[Name]]&lt;&gt;"",COUNTIF(tblStundenplan[[Spalte2]:[Spalte365]],"*"&amp;tblTFL[[#This Row],[Name]]),"")</f>
        <v>0</v>
      </c>
    </row>
    <row r="7" spans="1:10" s="1" customFormat="1" x14ac:dyDescent="0.25">
      <c r="D7" s="114">
        <v>60</v>
      </c>
      <c r="E7" s="115" t="s">
        <v>25</v>
      </c>
      <c r="G7" s="122" t="s">
        <v>33</v>
      </c>
      <c r="H7" s="94" t="s">
        <v>435</v>
      </c>
      <c r="I7" s="127"/>
      <c r="J7" s="143">
        <f>IF(tblTFL[[#This Row],[Name]]&lt;&gt;"",COUNTIF(tblStundenplan[[Spalte2]:[Spalte365]],"*"&amp;tblTFL[[#This Row],[Name]]),"")</f>
        <v>0</v>
      </c>
    </row>
    <row r="8" spans="1:10" s="1" customFormat="1" x14ac:dyDescent="0.25">
      <c r="D8" s="116"/>
      <c r="E8" s="113"/>
      <c r="G8" s="120" t="s">
        <v>38</v>
      </c>
      <c r="H8" s="94" t="s">
        <v>436</v>
      </c>
      <c r="I8" s="128"/>
      <c r="J8" s="143">
        <f>IF(tblTFL[[#This Row],[Name]]&lt;&gt;"",COUNTIF(tblStundenplan[[Spalte2]:[Spalte365]],"*"&amp;tblTFL[[#This Row],[Name]]),"")</f>
        <v>0</v>
      </c>
    </row>
    <row r="9" spans="1:10" s="1" customFormat="1" x14ac:dyDescent="0.25">
      <c r="D9" s="117"/>
      <c r="E9" s="115"/>
      <c r="G9" s="122" t="s">
        <v>34</v>
      </c>
      <c r="H9" s="94" t="s">
        <v>437</v>
      </c>
      <c r="I9" s="129"/>
      <c r="J9" s="143">
        <f>IF(tblTFL[[#This Row],[Name]]&lt;&gt;"",COUNTIF(tblStundenplan[[Spalte2]:[Spalte365]],"*"&amp;tblTFL[[#This Row],[Name]]),"")</f>
        <v>0</v>
      </c>
    </row>
    <row r="10" spans="1:10" s="1" customFormat="1" x14ac:dyDescent="0.25">
      <c r="D10" s="116"/>
      <c r="E10" s="113"/>
      <c r="G10" s="122" t="s">
        <v>31</v>
      </c>
      <c r="H10" s="94" t="s">
        <v>438</v>
      </c>
      <c r="I10" s="130"/>
      <c r="J10" s="143">
        <f>IF(tblTFL[[#This Row],[Name]]&lt;&gt;"",COUNTIF(tblStundenplan[[Spalte2]:[Spalte365]],"*"&amp;tblTFL[[#This Row],[Name]]),"")</f>
        <v>0</v>
      </c>
    </row>
    <row r="11" spans="1:10" s="1" customFormat="1" x14ac:dyDescent="0.25">
      <c r="D11" s="116"/>
      <c r="E11" s="118"/>
      <c r="G11" s="122" t="s">
        <v>32</v>
      </c>
      <c r="H11" s="94" t="s">
        <v>439</v>
      </c>
      <c r="I11" s="131"/>
      <c r="J11" s="143">
        <f>IF(tblTFL[[#This Row],[Name]]&lt;&gt;"",COUNTIF(tblStundenplan[[Spalte2]:[Spalte365]],"*"&amp;tblTFL[[#This Row],[Name]]),"")</f>
        <v>0</v>
      </c>
    </row>
    <row r="12" spans="1:10" s="1" customFormat="1" x14ac:dyDescent="0.25">
      <c r="D12" s="116"/>
      <c r="E12" s="118"/>
      <c r="G12" s="120"/>
      <c r="H12" s="94" t="s">
        <v>440</v>
      </c>
      <c r="I12" s="132"/>
      <c r="J12" s="143">
        <f>IF(tblTFL[[#This Row],[Name]]&lt;&gt;"",COUNTIF(tblStundenplan[[Spalte2]:[Spalte365]],"*"&amp;tblTFL[[#This Row],[Name]]),"")</f>
        <v>1</v>
      </c>
    </row>
    <row r="13" spans="1:10" s="1" customFormat="1" x14ac:dyDescent="0.25">
      <c r="D13" s="116"/>
      <c r="E13" s="118"/>
      <c r="G13" s="122" t="s">
        <v>30</v>
      </c>
      <c r="H13" s="94" t="s">
        <v>441</v>
      </c>
      <c r="I13" s="133"/>
      <c r="J13" s="143">
        <f>IF(tblTFL[[#This Row],[Name]]&lt;&gt;"",COUNTIF(tblStundenplan[[Spalte2]:[Spalte365]],"*"&amp;tblTFL[[#This Row],[Name]]),"")</f>
        <v>0</v>
      </c>
    </row>
    <row r="14" spans="1:10" s="1" customFormat="1" x14ac:dyDescent="0.25">
      <c r="D14" s="116"/>
      <c r="E14" s="118"/>
      <c r="G14" s="122" t="s">
        <v>33</v>
      </c>
      <c r="H14" s="94" t="s">
        <v>442</v>
      </c>
      <c r="I14" s="134"/>
      <c r="J14" s="143">
        <f>IF(tblTFL[[#This Row],[Name]]&lt;&gt;"",COUNTIF(tblStundenplan[[Spalte2]:[Spalte365]],"*"&amp;tblTFL[[#This Row],[Name]]),"")</f>
        <v>0</v>
      </c>
    </row>
    <row r="15" spans="1:10" s="1" customFormat="1" x14ac:dyDescent="0.25">
      <c r="D15" s="116"/>
      <c r="E15" s="118"/>
      <c r="G15" s="122" t="s">
        <v>30</v>
      </c>
      <c r="H15" s="94" t="s">
        <v>443</v>
      </c>
      <c r="I15" s="135"/>
      <c r="J15" s="143">
        <f>IF(tblTFL[[#This Row],[Name]]&lt;&gt;"",COUNTIF(tblStundenplan[[Spalte2]:[Spalte365]],"*"&amp;tblTFL[[#This Row],[Name]]),"")</f>
        <v>0</v>
      </c>
    </row>
    <row r="16" spans="1:10" x14ac:dyDescent="0.25">
      <c r="D16" s="116"/>
      <c r="E16" s="118"/>
      <c r="G16" s="122" t="s">
        <v>34</v>
      </c>
      <c r="H16" s="94" t="s">
        <v>444</v>
      </c>
      <c r="I16" s="136"/>
      <c r="J16" s="143">
        <f>IF(tblTFL[[#This Row],[Name]]&lt;&gt;"",COUNTIF(tblStundenplan[[Spalte2]:[Spalte365]],"*"&amp;tblTFL[[#This Row],[Name]]),"")</f>
        <v>0</v>
      </c>
    </row>
    <row r="17" spans="4:10" x14ac:dyDescent="0.25">
      <c r="D17" s="116"/>
      <c r="E17" s="118"/>
      <c r="G17" s="122" t="s">
        <v>34</v>
      </c>
      <c r="H17" s="94" t="s">
        <v>445</v>
      </c>
      <c r="I17" s="137"/>
      <c r="J17" s="143">
        <f>IF(tblTFL[[#This Row],[Name]]&lt;&gt;"",COUNTIF(tblStundenplan[[Spalte2]:[Spalte365]],"*"&amp;tblTFL[[#This Row],[Name]]),"")</f>
        <v>0</v>
      </c>
    </row>
    <row r="18" spans="4:10" x14ac:dyDescent="0.25">
      <c r="D18" s="116"/>
      <c r="E18" s="118"/>
      <c r="G18" s="122" t="s">
        <v>33</v>
      </c>
      <c r="H18" s="94" t="s">
        <v>446</v>
      </c>
      <c r="I18" s="138"/>
      <c r="J18" s="143">
        <f>IF(tblTFL[[#This Row],[Name]]&lt;&gt;"",COUNTIF(tblStundenplan[[Spalte2]:[Spalte365]],"*"&amp;tblTFL[[#This Row],[Name]]),"")</f>
        <v>2</v>
      </c>
    </row>
    <row r="19" spans="4:10" x14ac:dyDescent="0.25">
      <c r="D19" s="116"/>
      <c r="E19" s="118"/>
      <c r="G19" s="120" t="s">
        <v>37</v>
      </c>
      <c r="H19" s="94" t="s">
        <v>447</v>
      </c>
      <c r="I19" s="139"/>
      <c r="J19" s="143">
        <f>IF(tblTFL[[#This Row],[Name]]&lt;&gt;"",COUNTIF(tblStundenplan[[Spalte2]:[Spalte365]],"*"&amp;tblTFL[[#This Row],[Name]]),"")</f>
        <v>0</v>
      </c>
    </row>
    <row r="20" spans="4:10" x14ac:dyDescent="0.25">
      <c r="D20" s="116"/>
      <c r="E20" s="118"/>
      <c r="G20" s="120" t="s">
        <v>35</v>
      </c>
      <c r="H20" s="94" t="s">
        <v>448</v>
      </c>
      <c r="I20" s="140"/>
      <c r="J20" s="143">
        <f>IF(tblTFL[[#This Row],[Name]]&lt;&gt;"",COUNTIF(tblStundenplan[[Spalte2]:[Spalte365]],"*"&amp;tblTFL[[#This Row],[Name]]),"")</f>
        <v>0</v>
      </c>
    </row>
    <row r="21" spans="4:10" x14ac:dyDescent="0.25">
      <c r="D21" s="116"/>
      <c r="E21" s="118"/>
      <c r="G21" s="120" t="s">
        <v>34</v>
      </c>
      <c r="H21" s="94" t="s">
        <v>449</v>
      </c>
      <c r="I21" s="141"/>
      <c r="J21" s="143">
        <f>IF(tblTFL[[#This Row],[Name]]&lt;&gt;"",COUNTIF(tblStundenplan[[Spalte2]:[Spalte365]],"*"&amp;tblTFL[[#This Row],[Name]]),"")</f>
        <v>0</v>
      </c>
    </row>
    <row r="22" spans="4:10" x14ac:dyDescent="0.25">
      <c r="D22" s="116"/>
      <c r="E22" s="118"/>
      <c r="G22" s="120"/>
      <c r="H22" s="142"/>
      <c r="I22" s="144"/>
      <c r="J22" s="48" t="str">
        <f>IF(tblTFL[[#This Row],[Name]]&lt;&gt;"",COUNTIF(tblStundenplan[[Spalte2]:[Spalte365]],"*"&amp;tblTFL[[#This Row],[Name]]),"")</f>
        <v/>
      </c>
    </row>
    <row r="23" spans="4:10" x14ac:dyDescent="0.25">
      <c r="D23" s="116"/>
      <c r="E23" s="118"/>
      <c r="G23" s="120"/>
      <c r="H23" s="142"/>
      <c r="I23" s="142"/>
      <c r="J23" s="48" t="str">
        <f>IF(tblTFL[[#This Row],[Name]]&lt;&gt;"",COUNTIF(tblStundenplan[[Spalte2]:[Spalte365]],"*"&amp;tblTFL[[#This Row],[Name]]),"")</f>
        <v/>
      </c>
    </row>
    <row r="24" spans="4:10" x14ac:dyDescent="0.25">
      <c r="D24" s="116"/>
      <c r="E24" s="118"/>
      <c r="G24" s="120"/>
      <c r="H24" s="142"/>
      <c r="I24" s="142"/>
      <c r="J24" s="48" t="str">
        <f>IF(tblTFL[[#This Row],[Name]]&lt;&gt;"",COUNTIF(tblStundenplan[[Spalte2]:[Spalte365]],"*"&amp;tblTFL[[#This Row],[Name]]),"")</f>
        <v/>
      </c>
    </row>
    <row r="25" spans="4:10" x14ac:dyDescent="0.25">
      <c r="D25" s="116"/>
      <c r="E25" s="118"/>
      <c r="G25" s="120"/>
      <c r="H25" s="142"/>
      <c r="I25" s="142"/>
      <c r="J25" s="48" t="str">
        <f>IF(tblTFL[[#This Row],[Name]]&lt;&gt;"",COUNTIF(tblStundenplan[[Spalte2]:[Spalte365]],"*"&amp;tblTFL[[#This Row],[Name]]),"")</f>
        <v/>
      </c>
    </row>
    <row r="26" spans="4:10" x14ac:dyDescent="0.25">
      <c r="D26" s="116"/>
      <c r="E26" s="118"/>
      <c r="G26" s="120"/>
      <c r="H26" s="142"/>
      <c r="I26" s="142"/>
      <c r="J26" s="48" t="str">
        <f>IF(tblTFL[[#This Row],[Name]]&lt;&gt;"",COUNTIF(tblStundenplan[[Spalte2]:[Spalte365]],"*"&amp;tblTFL[[#This Row],[Name]]),"")</f>
        <v/>
      </c>
    </row>
    <row r="27" spans="4:10" x14ac:dyDescent="0.25">
      <c r="D27" s="116"/>
      <c r="E27" s="118"/>
      <c r="G27" s="120"/>
      <c r="H27" s="142"/>
      <c r="I27" s="142"/>
      <c r="J27" s="48" t="str">
        <f>IF(tblTFL[[#This Row],[Name]]&lt;&gt;"",COUNTIF(tblStundenplan[[Spalte2]:[Spalte365]],"*"&amp;tblTFL[[#This Row],[Name]]),"")</f>
        <v/>
      </c>
    </row>
    <row r="28" spans="4:10" x14ac:dyDescent="0.25">
      <c r="D28" s="116"/>
      <c r="E28" s="118"/>
      <c r="G28" s="120"/>
      <c r="H28" s="142"/>
      <c r="I28" s="142"/>
      <c r="J28" s="48" t="str">
        <f>IF(tblTFL[[#This Row],[Name]]&lt;&gt;"",COUNTIF(tblStundenplan[[Spalte2]:[Spalte365]],"*"&amp;tblTFL[[#This Row],[Name]]),"")</f>
        <v/>
      </c>
    </row>
    <row r="29" spans="4:10" x14ac:dyDescent="0.25">
      <c r="D29" s="116"/>
      <c r="E29" s="118"/>
      <c r="G29" s="120"/>
      <c r="H29" s="142"/>
      <c r="I29" s="142"/>
      <c r="J29" s="48" t="str">
        <f>IF(tblTFL[[#This Row],[Name]]&lt;&gt;"",COUNTIF(tblStundenplan[[Spalte2]:[Spalte365]],"*"&amp;tblTFL[[#This Row],[Name]]),"")</f>
        <v/>
      </c>
    </row>
    <row r="30" spans="4:10" x14ac:dyDescent="0.25">
      <c r="D30" s="117"/>
      <c r="E30" s="119"/>
      <c r="G30" s="120"/>
      <c r="H30" s="142"/>
      <c r="I30" s="142"/>
      <c r="J30" s="48" t="str">
        <f>IF(tblTFL[[#This Row],[Name]]&lt;&gt;"",COUNTIF(tblStundenplan[[Spalte2]:[Spalte365]],"*"&amp;tblTFL[[#This Row],[Name]]),"")</f>
        <v/>
      </c>
    </row>
    <row r="31" spans="4:10" x14ac:dyDescent="0.25">
      <c r="D31" s="114"/>
      <c r="E31" s="115"/>
      <c r="G31" s="120"/>
      <c r="H31" s="142"/>
      <c r="I31" s="142"/>
      <c r="J31" s="48" t="str">
        <f>IF(tblTFL[[#This Row],[Name]]&lt;&gt;"",COUNTIF(tblStundenplan[[Spalte2]:[Spalte365]],"*"&amp;tblTFL[[#This Row],[Name]]),"")</f>
        <v/>
      </c>
    </row>
  </sheetData>
  <sheetProtection selectLockedCells="1"/>
  <phoneticPr fontId="13" type="noConversion"/>
  <conditionalFormatting sqref="D2:D31">
    <cfRule type="duplicateValues" dxfId="420" priority="1"/>
  </conditionalFormatting>
  <dataValidations count="1">
    <dataValidation type="textLength" operator="equal" allowBlank="1" showInputMessage="1" showErrorMessage="1" errorTitle="Zeichenanzahl" error="Es sind nur genau 2 Zahlen zulässig!" sqref="D2:D31" xr:uid="{00000000-0002-0000-0000-000000000000}">
      <formula1>2</formula1>
    </dataValidation>
  </dataValidations>
  <pageMargins left="0.7" right="0.7" top="0.78740157499999996" bottom="0.78740157499999996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Lehrgangsinhalte"/>
  <dimension ref="A1:L90"/>
  <sheetViews>
    <sheetView showRowColHeaders="0" zoomScale="85" zoomScaleNormal="85" workbookViewId="0">
      <pane ySplit="1" topLeftCell="A2" activePane="bottomLeft" state="frozen"/>
      <selection activeCell="B1" sqref="B1"/>
      <selection pane="bottomLeft" activeCell="F7" sqref="F7"/>
    </sheetView>
  </sheetViews>
  <sheetFormatPr baseColWidth="10" defaultRowHeight="15" x14ac:dyDescent="0.25"/>
  <cols>
    <col min="1" max="1" width="8" style="10" customWidth="1"/>
    <col min="2" max="2" width="11.42578125" style="10" bestFit="1" customWidth="1"/>
    <col min="3" max="3" width="22.28515625" bestFit="1" customWidth="1"/>
    <col min="4" max="4" width="10" style="16" customWidth="1"/>
    <col min="5" max="5" width="16.42578125" bestFit="1" customWidth="1"/>
    <col min="6" max="6" width="8.85546875" style="10" bestFit="1" customWidth="1"/>
    <col min="7" max="7" width="11" style="10" bestFit="1" customWidth="1"/>
    <col min="8" max="8" width="6.7109375" style="10" bestFit="1" customWidth="1"/>
    <col min="9" max="9" width="12.5703125" style="10" bestFit="1" customWidth="1"/>
    <col min="10" max="10" width="11" style="10" bestFit="1" customWidth="1"/>
    <col min="11" max="11" width="10.28515625" bestFit="1" customWidth="1"/>
    <col min="12" max="12" width="15.28515625" bestFit="1" customWidth="1"/>
  </cols>
  <sheetData>
    <row r="1" spans="1:12" s="148" customFormat="1" ht="41.25" customHeight="1" x14ac:dyDescent="0.25">
      <c r="A1" s="8" t="s">
        <v>39</v>
      </c>
      <c r="B1" s="14" t="s">
        <v>18</v>
      </c>
      <c r="C1" s="13" t="s">
        <v>19</v>
      </c>
      <c r="D1" s="145" t="s">
        <v>49</v>
      </c>
      <c r="E1" s="146" t="s">
        <v>40</v>
      </c>
      <c r="F1" s="13" t="s">
        <v>43</v>
      </c>
      <c r="G1" s="13" t="s">
        <v>42</v>
      </c>
      <c r="H1" s="13" t="s">
        <v>41</v>
      </c>
      <c r="I1" s="13" t="s">
        <v>428</v>
      </c>
      <c r="J1" s="13" t="s">
        <v>429</v>
      </c>
      <c r="K1" s="146" t="s">
        <v>44</v>
      </c>
      <c r="L1" s="147" t="s">
        <v>45</v>
      </c>
    </row>
    <row r="2" spans="1:12" x14ac:dyDescent="0.25">
      <c r="A2" s="26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1010</v>
      </c>
      <c r="B2" s="152">
        <v>10</v>
      </c>
      <c r="C2" s="6" t="str">
        <f>IF(tblLehrgangsinhalte[[#This Row],[Abschn.-Nr.]]&lt;&gt;"",VLOOKUP(tblLehrgangsinhalte[[#This Row],[Abschn.-Nr.]],tblAbschnitte[],2,FALSE),"")</f>
        <v>Allgemein</v>
      </c>
      <c r="D2" s="91">
        <v>10</v>
      </c>
      <c r="E2" s="92" t="s">
        <v>46</v>
      </c>
      <c r="F2" s="164" t="s">
        <v>430</v>
      </c>
      <c r="G2" s="95">
        <v>116</v>
      </c>
      <c r="H2" s="96" t="s">
        <v>47</v>
      </c>
      <c r="I2" s="17">
        <f>IF(tblLehrgangsinhalte[[#This Row],[UE-Nr.]]&lt;&gt;"",COUNTIF(tblStundenplan[[Spalte2]:[Spalte365]],tblLehrgangsinhalte[[#This Row],[UE-Nr.]]&amp;"*"),"")</f>
        <v>0</v>
      </c>
      <c r="J2" s="17">
        <f>IF(tblLehrgangsinhalte[[#This Row],[UE-Nr.]]&lt;&gt;"",tblLehrgangsinhalte[[#This Row],[Std.-Ansatz]]-tblLehrgangsinhalte[[#This Row],[Std. Verplant]],"")</f>
        <v>116</v>
      </c>
      <c r="K2" s="105"/>
      <c r="L2" s="106"/>
    </row>
    <row r="3" spans="1:12" x14ac:dyDescent="0.25">
      <c r="A3" s="16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1011</v>
      </c>
      <c r="B3" s="153">
        <v>10</v>
      </c>
      <c r="C3" s="6" t="str">
        <f>IF(tblLehrgangsinhalte[[#This Row],[Abschn.-Nr.]]&lt;&gt;"",VLOOKUP(tblLehrgangsinhalte[[#This Row],[Abschn.-Nr.]],tblAbschnitte[],2,FALSE),"")</f>
        <v>Allgemein</v>
      </c>
      <c r="D3" s="91">
        <v>11</v>
      </c>
      <c r="E3" s="93" t="s">
        <v>450</v>
      </c>
      <c r="F3" s="165" t="s">
        <v>431</v>
      </c>
      <c r="G3" s="97">
        <v>24</v>
      </c>
      <c r="H3" s="98" t="s">
        <v>48</v>
      </c>
      <c r="I3" s="18">
        <f>IF(tblLehrgangsinhalte[[#This Row],[UE-Nr.]]&lt;&gt;"",COUNTIF(tblStundenplan[[Spalte2]:[Spalte365]],tblLehrgangsinhalte[[#This Row],[UE-Nr.]]&amp;"*"),"")</f>
        <v>1</v>
      </c>
      <c r="J3" s="18">
        <f>IF(tblLehrgangsinhalte[[#This Row],[UE-Nr.]]&lt;&gt;"",tblLehrgangsinhalte[[#This Row],[Std.-Ansatz]]-tblLehrgangsinhalte[[#This Row],[Std. Verplant]],"")</f>
        <v>23</v>
      </c>
      <c r="K3" s="107"/>
      <c r="L3" s="107"/>
    </row>
    <row r="4" spans="1:12" x14ac:dyDescent="0.25">
      <c r="A4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1012</v>
      </c>
      <c r="B4" s="153">
        <v>10</v>
      </c>
      <c r="C4" s="6" t="str">
        <f>IF(tblLehrgangsinhalte[[#This Row],[Abschn.-Nr.]]&lt;&gt;"",VLOOKUP(tblLehrgangsinhalte[[#This Row],[Abschn.-Nr.]],tblAbschnitte[],2,FALSE),"")</f>
        <v>Allgemein</v>
      </c>
      <c r="D4" s="91">
        <v>12</v>
      </c>
      <c r="E4" s="93" t="s">
        <v>451</v>
      </c>
      <c r="F4" s="168" t="s">
        <v>432</v>
      </c>
      <c r="G4" s="97">
        <v>21</v>
      </c>
      <c r="H4" s="98" t="s">
        <v>48</v>
      </c>
      <c r="I4" s="18">
        <f>IF(tblLehrgangsinhalte[[#This Row],[UE-Nr.]]&lt;&gt;"",COUNTIF(tblStundenplan[[Spalte2]:[Spalte365]],tblLehrgangsinhalte[[#This Row],[UE-Nr.]]&amp;"*"),"")</f>
        <v>0</v>
      </c>
      <c r="J4" s="18">
        <f>IF(tblLehrgangsinhalte[[#This Row],[UE-Nr.]]&lt;&gt;"",tblLehrgangsinhalte[[#This Row],[Std.-Ansatz]]-tblLehrgangsinhalte[[#This Row],[Std. Verplant]],"")</f>
        <v>21</v>
      </c>
      <c r="K4" s="107"/>
      <c r="L4" s="107"/>
    </row>
    <row r="5" spans="1:12" x14ac:dyDescent="0.25">
      <c r="A5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1013</v>
      </c>
      <c r="B5" s="153">
        <v>10</v>
      </c>
      <c r="C5" s="6" t="str">
        <f>IF(tblLehrgangsinhalte[[#This Row],[Abschn.-Nr.]]&lt;&gt;"",VLOOKUP(tblLehrgangsinhalte[[#This Row],[Abschn.-Nr.]],tblAbschnitte[],2,FALSE),"")</f>
        <v>Allgemein</v>
      </c>
      <c r="D5" s="91">
        <v>13</v>
      </c>
      <c r="E5" s="93" t="s">
        <v>452</v>
      </c>
      <c r="F5" s="168" t="s">
        <v>432</v>
      </c>
      <c r="G5" s="99">
        <v>2</v>
      </c>
      <c r="H5" s="98" t="s">
        <v>48</v>
      </c>
      <c r="I5" s="19">
        <f>IF(tblLehrgangsinhalte[[#This Row],[UE-Nr.]]&lt;&gt;"",COUNTIF(tblStundenplan[[Spalte2]:[Spalte365]],tblLehrgangsinhalte[[#This Row],[UE-Nr.]]&amp;"*"),"")</f>
        <v>1</v>
      </c>
      <c r="J5" s="19">
        <f>IF(tblLehrgangsinhalte[[#This Row],[UE-Nr.]]&lt;&gt;"",tblLehrgangsinhalte[[#This Row],[Std.-Ansatz]]-tblLehrgangsinhalte[[#This Row],[Std. Verplant]],"")</f>
        <v>1</v>
      </c>
      <c r="K5" s="107"/>
      <c r="L5" s="107"/>
    </row>
    <row r="6" spans="1:12" x14ac:dyDescent="0.25">
      <c r="A6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1014</v>
      </c>
      <c r="B6" s="153">
        <v>10</v>
      </c>
      <c r="C6" s="6" t="str">
        <f>IF(tblLehrgangsinhalte[[#This Row],[Abschn.-Nr.]]&lt;&gt;"",VLOOKUP(tblLehrgangsinhalte[[#This Row],[Abschn.-Nr.]],tblAbschnitte[],2,FALSE),"")</f>
        <v>Allgemein</v>
      </c>
      <c r="D6" s="91">
        <v>14</v>
      </c>
      <c r="E6" s="93" t="s">
        <v>453</v>
      </c>
      <c r="F6" s="168" t="s">
        <v>432</v>
      </c>
      <c r="G6" s="100">
        <v>5</v>
      </c>
      <c r="H6" s="98" t="s">
        <v>48</v>
      </c>
      <c r="I6" s="20">
        <f>IF(tblLehrgangsinhalte[[#This Row],[UE-Nr.]]&lt;&gt;"",COUNTIF(tblStundenplan[[Spalte2]:[Spalte365]],tblLehrgangsinhalte[[#This Row],[UE-Nr.]]&amp;"*"),"")</f>
        <v>0</v>
      </c>
      <c r="J6" s="20">
        <f>IF(tblLehrgangsinhalte[[#This Row],[UE-Nr.]]&lt;&gt;"",tblLehrgangsinhalte[[#This Row],[Std.-Ansatz]]-tblLehrgangsinhalte[[#This Row],[Std. Verplant]],"")</f>
        <v>5</v>
      </c>
      <c r="K6" s="108"/>
      <c r="L6" s="107"/>
    </row>
    <row r="7" spans="1:12" x14ac:dyDescent="0.25">
      <c r="A7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1015</v>
      </c>
      <c r="B7" s="153">
        <v>10</v>
      </c>
      <c r="C7" s="6" t="str">
        <f>IF(tblLehrgangsinhalte[[#This Row],[Abschn.-Nr.]]&lt;&gt;"",VLOOKUP(tblLehrgangsinhalte[[#This Row],[Abschn.-Nr.]],tblAbschnitte[],2,FALSE),"")</f>
        <v>Allgemein</v>
      </c>
      <c r="D7" s="91">
        <v>15</v>
      </c>
      <c r="E7" s="93" t="s">
        <v>454</v>
      </c>
      <c r="F7" s="168" t="s">
        <v>432</v>
      </c>
      <c r="G7" s="97">
        <v>29</v>
      </c>
      <c r="H7" s="98" t="s">
        <v>48</v>
      </c>
      <c r="I7" s="18">
        <f>IF(tblLehrgangsinhalte[[#This Row],[UE-Nr.]]&lt;&gt;"",COUNTIF(tblStundenplan[[Spalte2]:[Spalte365]],tblLehrgangsinhalte[[#This Row],[UE-Nr.]]&amp;"*"),"")</f>
        <v>0</v>
      </c>
      <c r="J7" s="18">
        <f>IF(tblLehrgangsinhalte[[#This Row],[UE-Nr.]]&lt;&gt;"",tblLehrgangsinhalte[[#This Row],[Std.-Ansatz]]-tblLehrgangsinhalte[[#This Row],[Std. Verplant]],"")</f>
        <v>29</v>
      </c>
      <c r="K7" s="107"/>
      <c r="L7" s="107"/>
    </row>
    <row r="8" spans="1:12" x14ac:dyDescent="0.25">
      <c r="A8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1016</v>
      </c>
      <c r="B8" s="153">
        <v>10</v>
      </c>
      <c r="C8" s="6" t="str">
        <f>IF(tblLehrgangsinhalte[[#This Row],[Abschn.-Nr.]]&lt;&gt;"",VLOOKUP(tblLehrgangsinhalte[[#This Row],[Abschn.-Nr.]],tblAbschnitte[],2,FALSE),"")</f>
        <v>Allgemein</v>
      </c>
      <c r="D8" s="91">
        <v>16</v>
      </c>
      <c r="E8" s="93" t="s">
        <v>455</v>
      </c>
      <c r="F8" s="168" t="s">
        <v>432</v>
      </c>
      <c r="G8" s="97">
        <v>68</v>
      </c>
      <c r="H8" s="98" t="s">
        <v>48</v>
      </c>
      <c r="I8" s="18">
        <f>IF(tblLehrgangsinhalte[[#This Row],[UE-Nr.]]&lt;&gt;"",COUNTIF(tblStundenplan[[Spalte2]:[Spalte365]],tblLehrgangsinhalte[[#This Row],[UE-Nr.]]&amp;"*"),"")</f>
        <v>0</v>
      </c>
      <c r="J8" s="18">
        <f>IF(tblLehrgangsinhalte[[#This Row],[UE-Nr.]]&lt;&gt;"",tblLehrgangsinhalte[[#This Row],[Std.-Ansatz]]-tblLehrgangsinhalte[[#This Row],[Std. Verplant]],"")</f>
        <v>68</v>
      </c>
      <c r="K8" s="107"/>
      <c r="L8" s="107"/>
    </row>
    <row r="9" spans="1:12" x14ac:dyDescent="0.25">
      <c r="A9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1017</v>
      </c>
      <c r="B9" s="153">
        <v>10</v>
      </c>
      <c r="C9" s="6" t="str">
        <f>IF(tblLehrgangsinhalte[[#This Row],[Abschn.-Nr.]]&lt;&gt;"",VLOOKUP(tblLehrgangsinhalte[[#This Row],[Abschn.-Nr.]],tblAbschnitte[],2,FALSE),"")</f>
        <v>Allgemein</v>
      </c>
      <c r="D9" s="91">
        <v>17</v>
      </c>
      <c r="E9" s="93" t="s">
        <v>456</v>
      </c>
      <c r="F9" s="168" t="s">
        <v>432</v>
      </c>
      <c r="G9" s="97">
        <v>5</v>
      </c>
      <c r="H9" s="98" t="s">
        <v>48</v>
      </c>
      <c r="I9" s="18">
        <f>IF(tblLehrgangsinhalte[[#This Row],[UE-Nr.]]&lt;&gt;"",COUNTIF(tblStundenplan[[Spalte2]:[Spalte365]],tblLehrgangsinhalte[[#This Row],[UE-Nr.]]&amp;"*"),"")</f>
        <v>1</v>
      </c>
      <c r="J9" s="18">
        <f>IF(tblLehrgangsinhalte[[#This Row],[UE-Nr.]]&lt;&gt;"",tblLehrgangsinhalte[[#This Row],[Std.-Ansatz]]-tblLehrgangsinhalte[[#This Row],[Std. Verplant]],"")</f>
        <v>4</v>
      </c>
      <c r="K9" s="107"/>
      <c r="L9" s="107"/>
    </row>
    <row r="10" spans="1:12" x14ac:dyDescent="0.25">
      <c r="A10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1018</v>
      </c>
      <c r="B10" s="153">
        <v>10</v>
      </c>
      <c r="C10" s="6" t="str">
        <f>IF(tblLehrgangsinhalte[[#This Row],[Abschn.-Nr.]]&lt;&gt;"",VLOOKUP(tblLehrgangsinhalte[[#This Row],[Abschn.-Nr.]],tblAbschnitte[],2,FALSE),"")</f>
        <v>Allgemein</v>
      </c>
      <c r="D10" s="91">
        <v>18</v>
      </c>
      <c r="E10" s="93" t="s">
        <v>457</v>
      </c>
      <c r="F10" s="168" t="s">
        <v>432</v>
      </c>
      <c r="G10" s="97">
        <v>41</v>
      </c>
      <c r="H10" s="98" t="s">
        <v>48</v>
      </c>
      <c r="I10" s="18">
        <f>IF(tblLehrgangsinhalte[[#This Row],[UE-Nr.]]&lt;&gt;"",COUNTIF(tblStundenplan[[Spalte2]:[Spalte365]],tblLehrgangsinhalte[[#This Row],[UE-Nr.]]&amp;"*"),"")</f>
        <v>0</v>
      </c>
      <c r="J10" s="18">
        <f>IF(tblLehrgangsinhalte[[#This Row],[UE-Nr.]]&lt;&gt;"",tblLehrgangsinhalte[[#This Row],[Std.-Ansatz]]-tblLehrgangsinhalte[[#This Row],[Std. Verplant]],"")</f>
        <v>41</v>
      </c>
      <c r="K10" s="107"/>
      <c r="L10" s="107"/>
    </row>
    <row r="11" spans="1:12" x14ac:dyDescent="0.25">
      <c r="A11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1019</v>
      </c>
      <c r="B11" s="153">
        <v>10</v>
      </c>
      <c r="C11" s="6" t="str">
        <f>IF(tblLehrgangsinhalte[[#This Row],[Abschn.-Nr.]]&lt;&gt;"",VLOOKUP(tblLehrgangsinhalte[[#This Row],[Abschn.-Nr.]],tblAbschnitte[],2,FALSE),"")</f>
        <v>Allgemein</v>
      </c>
      <c r="D11" s="91">
        <v>19</v>
      </c>
      <c r="E11" s="93" t="s">
        <v>458</v>
      </c>
      <c r="F11" s="168" t="s">
        <v>432</v>
      </c>
      <c r="G11" s="97">
        <v>41</v>
      </c>
      <c r="H11" s="98" t="s">
        <v>48</v>
      </c>
      <c r="I11" s="18">
        <f>IF(tblLehrgangsinhalte[[#This Row],[UE-Nr.]]&lt;&gt;"",COUNTIF(tblStundenplan[[Spalte2]:[Spalte365]],tblLehrgangsinhalte[[#This Row],[UE-Nr.]]&amp;"*"),"")</f>
        <v>0</v>
      </c>
      <c r="J11" s="18">
        <f>IF(tblLehrgangsinhalte[[#This Row],[UE-Nr.]]&lt;&gt;"",tblLehrgangsinhalte[[#This Row],[Std.-Ansatz]]-tblLehrgangsinhalte[[#This Row],[Std. Verplant]],"")</f>
        <v>41</v>
      </c>
      <c r="K11" s="107"/>
      <c r="L11" s="107"/>
    </row>
    <row r="12" spans="1:12" x14ac:dyDescent="0.25">
      <c r="A12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1020</v>
      </c>
      <c r="B12" s="153">
        <v>10</v>
      </c>
      <c r="C12" s="6" t="str">
        <f>IF(tblLehrgangsinhalte[[#This Row],[Abschn.-Nr.]]&lt;&gt;"",VLOOKUP(tblLehrgangsinhalte[[#This Row],[Abschn.-Nr.]],tblAbschnitte[],2,FALSE),"")</f>
        <v>Allgemein</v>
      </c>
      <c r="D12" s="91">
        <v>20</v>
      </c>
      <c r="E12" s="93" t="s">
        <v>459</v>
      </c>
      <c r="F12" s="168" t="s">
        <v>432</v>
      </c>
      <c r="G12" s="97">
        <v>15</v>
      </c>
      <c r="H12" s="98" t="s">
        <v>48</v>
      </c>
      <c r="I12" s="18">
        <f>IF(tblLehrgangsinhalte[[#This Row],[UE-Nr.]]&lt;&gt;"",COUNTIF(tblStundenplan[[Spalte2]:[Spalte365]],tblLehrgangsinhalte[[#This Row],[UE-Nr.]]&amp;"*"),"")</f>
        <v>0</v>
      </c>
      <c r="J12" s="18">
        <f>IF(tblLehrgangsinhalte[[#This Row],[UE-Nr.]]&lt;&gt;"",tblLehrgangsinhalte[[#This Row],[Std.-Ansatz]]-tblLehrgangsinhalte[[#This Row],[Std. Verplant]],"")</f>
        <v>15</v>
      </c>
      <c r="K12" s="107"/>
      <c r="L12" s="107"/>
    </row>
    <row r="13" spans="1:12" x14ac:dyDescent="0.25">
      <c r="A13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1021</v>
      </c>
      <c r="B13" s="153">
        <v>10</v>
      </c>
      <c r="C13" s="6" t="str">
        <f>IF(tblLehrgangsinhalte[[#This Row],[Abschn.-Nr.]]&lt;&gt;"",VLOOKUP(tblLehrgangsinhalte[[#This Row],[Abschn.-Nr.]],tblAbschnitte[],2,FALSE),"")</f>
        <v>Allgemein</v>
      </c>
      <c r="D13" s="91">
        <v>21</v>
      </c>
      <c r="E13" s="93" t="s">
        <v>460</v>
      </c>
      <c r="F13" s="168" t="s">
        <v>432</v>
      </c>
      <c r="G13" s="97">
        <v>7</v>
      </c>
      <c r="H13" s="98" t="s">
        <v>47</v>
      </c>
      <c r="I13" s="18">
        <f>IF(tblLehrgangsinhalte[[#This Row],[UE-Nr.]]&lt;&gt;"",COUNTIF(tblStundenplan[[Spalte2]:[Spalte365]],tblLehrgangsinhalte[[#This Row],[UE-Nr.]]&amp;"*"),"")</f>
        <v>0</v>
      </c>
      <c r="J13" s="18">
        <f>IF(tblLehrgangsinhalte[[#This Row],[UE-Nr.]]&lt;&gt;"",tblLehrgangsinhalte[[#This Row],[Std.-Ansatz]]-tblLehrgangsinhalte[[#This Row],[Std. Verplant]],"")</f>
        <v>7</v>
      </c>
      <c r="K13" s="109"/>
      <c r="L13" s="107"/>
    </row>
    <row r="14" spans="1:12" x14ac:dyDescent="0.25">
      <c r="A14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1022</v>
      </c>
      <c r="B14" s="152">
        <v>10</v>
      </c>
      <c r="C14" s="6" t="str">
        <f>IF(tblLehrgangsinhalte[[#This Row],[Abschn.-Nr.]]&lt;&gt;"",VLOOKUP(tblLehrgangsinhalte[[#This Row],[Abschn.-Nr.]],tblAbschnitte[],2,FALSE),"")</f>
        <v>Allgemein</v>
      </c>
      <c r="D14" s="91">
        <v>22</v>
      </c>
      <c r="E14" s="93" t="s">
        <v>461</v>
      </c>
      <c r="F14" s="168" t="s">
        <v>432</v>
      </c>
      <c r="G14" s="97">
        <v>5</v>
      </c>
      <c r="H14" s="98" t="s">
        <v>47</v>
      </c>
      <c r="I14" s="18">
        <f>IF(tblLehrgangsinhalte[[#This Row],[UE-Nr.]]&lt;&gt;"",COUNTIF(tblStundenplan[[Spalte2]:[Spalte365]],tblLehrgangsinhalte[[#This Row],[UE-Nr.]]&amp;"*"),"")</f>
        <v>0</v>
      </c>
      <c r="J14" s="18">
        <f>IF(tblLehrgangsinhalte[[#This Row],[UE-Nr.]]&lt;&gt;"",tblLehrgangsinhalte[[#This Row],[Std.-Ansatz]]-tblLehrgangsinhalte[[#This Row],[Std. Verplant]],"")</f>
        <v>5</v>
      </c>
      <c r="K14" s="107"/>
      <c r="L14" s="107"/>
    </row>
    <row r="15" spans="1:12" x14ac:dyDescent="0.25">
      <c r="A15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1023</v>
      </c>
      <c r="B15" s="153">
        <v>10</v>
      </c>
      <c r="C15" s="6" t="str">
        <f>IF(tblLehrgangsinhalte[[#This Row],[Abschn.-Nr.]]&lt;&gt;"",VLOOKUP(tblLehrgangsinhalte[[#This Row],[Abschn.-Nr.]],tblAbschnitte[],2,FALSE),"")</f>
        <v>Allgemein</v>
      </c>
      <c r="D15" s="91">
        <v>23</v>
      </c>
      <c r="E15" s="93" t="s">
        <v>462</v>
      </c>
      <c r="F15" s="168" t="s">
        <v>432</v>
      </c>
      <c r="G15" s="97">
        <v>3</v>
      </c>
      <c r="H15" s="98" t="s">
        <v>47</v>
      </c>
      <c r="I15" s="18">
        <f>IF(tblLehrgangsinhalte[[#This Row],[UE-Nr.]]&lt;&gt;"",COUNTIF(tblStundenplan[[Spalte2]:[Spalte365]],tblLehrgangsinhalte[[#This Row],[UE-Nr.]]&amp;"*"),"")</f>
        <v>0</v>
      </c>
      <c r="J15" s="18">
        <f>IF(tblLehrgangsinhalte[[#This Row],[UE-Nr.]]&lt;&gt;"",tblLehrgangsinhalte[[#This Row],[Std.-Ansatz]]-tblLehrgangsinhalte[[#This Row],[Std. Verplant]],"")</f>
        <v>3</v>
      </c>
      <c r="K15" s="107"/>
      <c r="L15" s="107"/>
    </row>
    <row r="16" spans="1:12" x14ac:dyDescent="0.25">
      <c r="A16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1024</v>
      </c>
      <c r="B16" s="152">
        <v>10</v>
      </c>
      <c r="C16" s="6" t="str">
        <f>IF(tblLehrgangsinhalte[[#This Row],[Abschn.-Nr.]]&lt;&gt;"",VLOOKUP(tblLehrgangsinhalte[[#This Row],[Abschn.-Nr.]],tblAbschnitte[],2,FALSE),"")</f>
        <v>Allgemein</v>
      </c>
      <c r="D16" s="91">
        <v>24</v>
      </c>
      <c r="E16" s="93" t="s">
        <v>463</v>
      </c>
      <c r="F16" s="168" t="s">
        <v>432</v>
      </c>
      <c r="G16" s="97">
        <v>30</v>
      </c>
      <c r="H16" s="98" t="s">
        <v>47</v>
      </c>
      <c r="I16" s="18">
        <f>IF(tblLehrgangsinhalte[[#This Row],[UE-Nr.]]&lt;&gt;"",COUNTIF(tblStundenplan[[Spalte2]:[Spalte365]],tblLehrgangsinhalte[[#This Row],[UE-Nr.]]&amp;"*"),"")</f>
        <v>0</v>
      </c>
      <c r="J16" s="18">
        <f>IF(tblLehrgangsinhalte[[#This Row],[UE-Nr.]]&lt;&gt;"",tblLehrgangsinhalte[[#This Row],[Std.-Ansatz]]-tblLehrgangsinhalte[[#This Row],[Std. Verplant]],"")</f>
        <v>30</v>
      </c>
      <c r="K16" s="110"/>
      <c r="L16" s="107"/>
    </row>
    <row r="17" spans="1:12" x14ac:dyDescent="0.25">
      <c r="A17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1025</v>
      </c>
      <c r="B17" s="153">
        <v>10</v>
      </c>
      <c r="C17" s="6" t="str">
        <f>IF(tblLehrgangsinhalte[[#This Row],[Abschn.-Nr.]]&lt;&gt;"",VLOOKUP(tblLehrgangsinhalte[[#This Row],[Abschn.-Nr.]],tblAbschnitte[],2,FALSE),"")</f>
        <v>Allgemein</v>
      </c>
      <c r="D17" s="91">
        <v>25</v>
      </c>
      <c r="E17" s="93" t="s">
        <v>464</v>
      </c>
      <c r="F17" s="168" t="s">
        <v>432</v>
      </c>
      <c r="G17" s="97">
        <v>18</v>
      </c>
      <c r="H17" s="98" t="s">
        <v>48</v>
      </c>
      <c r="I17" s="18">
        <f>IF(tblLehrgangsinhalte[[#This Row],[UE-Nr.]]&lt;&gt;"",COUNTIF(tblStundenplan[[Spalte2]:[Spalte365]],tblLehrgangsinhalte[[#This Row],[UE-Nr.]]&amp;"*"),"")</f>
        <v>0</v>
      </c>
      <c r="J17" s="18">
        <f>IF(tblLehrgangsinhalte[[#This Row],[UE-Nr.]]&lt;&gt;"",tblLehrgangsinhalte[[#This Row],[Std.-Ansatz]]-tblLehrgangsinhalte[[#This Row],[Std. Verplant]],"")</f>
        <v>18</v>
      </c>
      <c r="K17" s="109"/>
      <c r="L17" s="107"/>
    </row>
    <row r="18" spans="1:12" x14ac:dyDescent="0.25">
      <c r="A18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2010</v>
      </c>
      <c r="B18" s="153">
        <v>20</v>
      </c>
      <c r="C18" s="6" t="str">
        <f>IF(tblLehrgangsinhalte[[#This Row],[Abschn.-Nr.]]&lt;&gt;"",VLOOKUP(tblLehrgangsinhalte[[#This Row],[Abschn.-Nr.]],tblAbschnitte[],2,FALSE),"")</f>
        <v>Wachdienst Allgemein</v>
      </c>
      <c r="D18" s="91">
        <v>10</v>
      </c>
      <c r="E18" s="93" t="s">
        <v>465</v>
      </c>
      <c r="F18" s="150" t="s">
        <v>432</v>
      </c>
      <c r="G18" s="97">
        <v>2</v>
      </c>
      <c r="H18" s="98" t="s">
        <v>47</v>
      </c>
      <c r="I18" s="18">
        <f>IF(tblLehrgangsinhalte[[#This Row],[UE-Nr.]]&lt;&gt;"",COUNTIF(tblStundenplan[[Spalte2]:[Spalte365]],tblLehrgangsinhalte[[#This Row],[UE-Nr.]]&amp;"*"),"")</f>
        <v>0</v>
      </c>
      <c r="J18" s="18">
        <f>IF(tblLehrgangsinhalte[[#This Row],[UE-Nr.]]&lt;&gt;"",tblLehrgangsinhalte[[#This Row],[Std.-Ansatz]]-tblLehrgangsinhalte[[#This Row],[Std. Verplant]],"")</f>
        <v>2</v>
      </c>
      <c r="K18" s="107"/>
      <c r="L18" s="107"/>
    </row>
    <row r="19" spans="1:12" x14ac:dyDescent="0.25">
      <c r="A19" s="2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2011</v>
      </c>
      <c r="B19" s="153">
        <v>20</v>
      </c>
      <c r="C19" s="6" t="str">
        <f>IF(tblLehrgangsinhalte[[#This Row],[Abschn.-Nr.]]&lt;&gt;"",VLOOKUP(tblLehrgangsinhalte[[#This Row],[Abschn.-Nr.]],tblAbschnitte[],2,FALSE),"")</f>
        <v>Wachdienst Allgemein</v>
      </c>
      <c r="D19" s="91">
        <v>11</v>
      </c>
      <c r="E19" s="93" t="s">
        <v>469</v>
      </c>
      <c r="F19" s="150" t="s">
        <v>432</v>
      </c>
      <c r="G19" s="97">
        <v>2</v>
      </c>
      <c r="H19" s="98" t="s">
        <v>47</v>
      </c>
      <c r="I19" s="18">
        <f>IF(tblLehrgangsinhalte[[#This Row],[UE-Nr.]]&lt;&gt;"",COUNTIF(tblStundenplan[[Spalte2]:[Spalte365]],tblLehrgangsinhalte[[#This Row],[UE-Nr.]]&amp;"*"),"")</f>
        <v>0</v>
      </c>
      <c r="J19" s="18">
        <f>IF(tblLehrgangsinhalte[[#This Row],[UE-Nr.]]&lt;&gt;"",tblLehrgangsinhalte[[#This Row],[Std.-Ansatz]]-tblLehrgangsinhalte[[#This Row],[Std. Verplant]],"")</f>
        <v>2</v>
      </c>
      <c r="K19" s="107"/>
      <c r="L19" s="107"/>
    </row>
    <row r="20" spans="1:12" x14ac:dyDescent="0.25">
      <c r="A20" s="16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2012</v>
      </c>
      <c r="B20" s="153">
        <v>20</v>
      </c>
      <c r="C20" s="6" t="str">
        <f>IF(tblLehrgangsinhalte[[#This Row],[Abschn.-Nr.]]&lt;&gt;"",VLOOKUP(tblLehrgangsinhalte[[#This Row],[Abschn.-Nr.]],tblAbschnitte[],2,FALSE),"")</f>
        <v>Wachdienst Allgemein</v>
      </c>
      <c r="D20" s="91">
        <v>12</v>
      </c>
      <c r="E20" s="93" t="s">
        <v>470</v>
      </c>
      <c r="F20" s="166" t="s">
        <v>431</v>
      </c>
      <c r="G20" s="97">
        <v>1</v>
      </c>
      <c r="H20" s="98" t="s">
        <v>47</v>
      </c>
      <c r="I20" s="18">
        <f>IF(tblLehrgangsinhalte[[#This Row],[UE-Nr.]]&lt;&gt;"",COUNTIF(tblStundenplan[[Spalte2]:[Spalte365]],tblLehrgangsinhalte[[#This Row],[UE-Nr.]]&amp;"*"),"")</f>
        <v>0</v>
      </c>
      <c r="J20" s="18">
        <f>IF(tblLehrgangsinhalte[[#This Row],[UE-Nr.]]&lt;&gt;"",tblLehrgangsinhalte[[#This Row],[Std.-Ansatz]]-tblLehrgangsinhalte[[#This Row],[Std. Verplant]],"")</f>
        <v>1</v>
      </c>
      <c r="K20" s="107"/>
      <c r="L20" s="107"/>
    </row>
    <row r="21" spans="1:12" x14ac:dyDescent="0.25">
      <c r="A21" s="16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2013</v>
      </c>
      <c r="B21" s="153">
        <v>20</v>
      </c>
      <c r="C21" s="6" t="str">
        <f>IF(tblLehrgangsinhalte[[#This Row],[Abschn.-Nr.]]&lt;&gt;"",VLOOKUP(tblLehrgangsinhalte[[#This Row],[Abschn.-Nr.]],tblAbschnitte[],2,FALSE),"")</f>
        <v>Wachdienst Allgemein</v>
      </c>
      <c r="D21" s="91">
        <v>13</v>
      </c>
      <c r="E21" s="93" t="s">
        <v>471</v>
      </c>
      <c r="F21" s="166" t="s">
        <v>431</v>
      </c>
      <c r="G21" s="97">
        <v>5</v>
      </c>
      <c r="H21" s="98" t="s">
        <v>47</v>
      </c>
      <c r="I21" s="18">
        <f>IF(tblLehrgangsinhalte[[#This Row],[UE-Nr.]]&lt;&gt;"",COUNTIF(tblStundenplan[[Spalte2]:[Spalte365]],tblLehrgangsinhalte[[#This Row],[UE-Nr.]]&amp;"*"),"")</f>
        <v>0</v>
      </c>
      <c r="J21" s="18">
        <f>IF(tblLehrgangsinhalte[[#This Row],[UE-Nr.]]&lt;&gt;"",tblLehrgangsinhalte[[#This Row],[Std.-Ansatz]]-tblLehrgangsinhalte[[#This Row],[Std. Verplant]],"")</f>
        <v>5</v>
      </c>
      <c r="K21" s="107"/>
      <c r="L21" s="107"/>
    </row>
    <row r="22" spans="1:12" x14ac:dyDescent="0.25">
      <c r="A22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2014</v>
      </c>
      <c r="B22" s="153">
        <v>20</v>
      </c>
      <c r="C22" s="6" t="str">
        <f>IF(tblLehrgangsinhalte[[#This Row],[Abschn.-Nr.]]&lt;&gt;"",VLOOKUP(tblLehrgangsinhalte[[#This Row],[Abschn.-Nr.]],tblAbschnitte[],2,FALSE),"")</f>
        <v>Wachdienst Allgemein</v>
      </c>
      <c r="D22" s="91">
        <v>14</v>
      </c>
      <c r="E22" s="93" t="s">
        <v>472</v>
      </c>
      <c r="F22" s="149" t="s">
        <v>446</v>
      </c>
      <c r="G22" s="97">
        <v>5</v>
      </c>
      <c r="H22" s="98" t="s">
        <v>47</v>
      </c>
      <c r="I22" s="18">
        <f>IF(tblLehrgangsinhalte[[#This Row],[UE-Nr.]]&lt;&gt;"",COUNTIF(tblStundenplan[[Spalte2]:[Spalte365]],tblLehrgangsinhalte[[#This Row],[UE-Nr.]]&amp;"*"),"")</f>
        <v>0</v>
      </c>
      <c r="J22" s="18">
        <f>IF(tblLehrgangsinhalte[[#This Row],[UE-Nr.]]&lt;&gt;"",tblLehrgangsinhalte[[#This Row],[Std.-Ansatz]]-tblLehrgangsinhalte[[#This Row],[Std. Verplant]],"")</f>
        <v>5</v>
      </c>
      <c r="K22" s="107"/>
      <c r="L22" s="107"/>
    </row>
    <row r="23" spans="1:12" x14ac:dyDescent="0.25">
      <c r="A23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2015</v>
      </c>
      <c r="B23" s="153">
        <v>20</v>
      </c>
      <c r="C23" s="6" t="str">
        <f>IF(tblLehrgangsinhalte[[#This Row],[Abschn.-Nr.]]&lt;&gt;"",VLOOKUP(tblLehrgangsinhalte[[#This Row],[Abschn.-Nr.]],tblAbschnitte[],2,FALSE),"")</f>
        <v>Wachdienst Allgemein</v>
      </c>
      <c r="D23" s="91">
        <v>15</v>
      </c>
      <c r="E23" s="93" t="s">
        <v>473</v>
      </c>
      <c r="F23" s="149" t="s">
        <v>446</v>
      </c>
      <c r="G23" s="97">
        <v>2</v>
      </c>
      <c r="H23" s="98" t="s">
        <v>47</v>
      </c>
      <c r="I23" s="18">
        <f>IF(tblLehrgangsinhalte[[#This Row],[UE-Nr.]]&lt;&gt;"",COUNTIF(tblStundenplan[[Spalte2]:[Spalte365]],tblLehrgangsinhalte[[#This Row],[UE-Nr.]]&amp;"*"),"")</f>
        <v>0</v>
      </c>
      <c r="J23" s="18">
        <f>IF(tblLehrgangsinhalte[[#This Row],[UE-Nr.]]&lt;&gt;"",tblLehrgangsinhalte[[#This Row],[Std.-Ansatz]]-tblLehrgangsinhalte[[#This Row],[Std. Verplant]],"")</f>
        <v>2</v>
      </c>
      <c r="K23" s="107"/>
      <c r="L23" s="107"/>
    </row>
    <row r="24" spans="1:12" x14ac:dyDescent="0.25">
      <c r="A24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2016</v>
      </c>
      <c r="B24" s="153">
        <v>20</v>
      </c>
      <c r="C24" s="6" t="str">
        <f>IF(tblLehrgangsinhalte[[#This Row],[Abschn.-Nr.]]&lt;&gt;"",VLOOKUP(tblLehrgangsinhalte[[#This Row],[Abschn.-Nr.]],tblAbschnitte[],2,FALSE),"")</f>
        <v>Wachdienst Allgemein</v>
      </c>
      <c r="D24" s="91">
        <v>16</v>
      </c>
      <c r="E24" s="93" t="s">
        <v>474</v>
      </c>
      <c r="F24" s="149" t="s">
        <v>446</v>
      </c>
      <c r="G24" s="97">
        <v>17</v>
      </c>
      <c r="H24" s="98" t="s">
        <v>47</v>
      </c>
      <c r="I24" s="18">
        <f>IF(tblLehrgangsinhalte[[#This Row],[UE-Nr.]]&lt;&gt;"",COUNTIF(tblStundenplan[[Spalte2]:[Spalte365]],tblLehrgangsinhalte[[#This Row],[UE-Nr.]]&amp;"*"),"")</f>
        <v>0</v>
      </c>
      <c r="J24" s="18">
        <f>IF(tblLehrgangsinhalte[[#This Row],[UE-Nr.]]&lt;&gt;"",tblLehrgangsinhalte[[#This Row],[Std.-Ansatz]]-tblLehrgangsinhalte[[#This Row],[Std. Verplant]],"")</f>
        <v>17</v>
      </c>
      <c r="K24" s="107"/>
      <c r="L24" s="107"/>
    </row>
    <row r="25" spans="1:12" x14ac:dyDescent="0.25">
      <c r="A25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2017</v>
      </c>
      <c r="B25" s="153">
        <v>20</v>
      </c>
      <c r="C25" s="6" t="str">
        <f>IF(tblLehrgangsinhalte[[#This Row],[Abschn.-Nr.]]&lt;&gt;"",VLOOKUP(tblLehrgangsinhalte[[#This Row],[Abschn.-Nr.]],tblAbschnitte[],2,FALSE),"")</f>
        <v>Wachdienst Allgemein</v>
      </c>
      <c r="D25" s="91">
        <v>17</v>
      </c>
      <c r="E25" s="93" t="s">
        <v>475</v>
      </c>
      <c r="F25" s="149" t="s">
        <v>446</v>
      </c>
      <c r="G25" s="97">
        <v>10</v>
      </c>
      <c r="H25" s="98" t="s">
        <v>47</v>
      </c>
      <c r="I25" s="18">
        <f>IF(tblLehrgangsinhalte[[#This Row],[UE-Nr.]]&lt;&gt;"",COUNTIF(tblStundenplan[[Spalte2]:[Spalte365]],tblLehrgangsinhalte[[#This Row],[UE-Nr.]]&amp;"*"),"")</f>
        <v>0</v>
      </c>
      <c r="J25" s="18">
        <f>IF(tblLehrgangsinhalte[[#This Row],[UE-Nr.]]&lt;&gt;"",tblLehrgangsinhalte[[#This Row],[Std.-Ansatz]]-tblLehrgangsinhalte[[#This Row],[Std. Verplant]],"")</f>
        <v>10</v>
      </c>
      <c r="K25" s="107"/>
      <c r="L25" s="107"/>
    </row>
    <row r="26" spans="1:12" x14ac:dyDescent="0.25">
      <c r="A26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2018</v>
      </c>
      <c r="B26" s="153">
        <v>20</v>
      </c>
      <c r="C26" s="6" t="str">
        <f>IF(tblLehrgangsinhalte[[#This Row],[Abschn.-Nr.]]&lt;&gt;"",VLOOKUP(tblLehrgangsinhalte[[#This Row],[Abschn.-Nr.]],tblAbschnitte[],2,FALSE),"")</f>
        <v>Wachdienst Allgemein</v>
      </c>
      <c r="D26" s="91">
        <v>18</v>
      </c>
      <c r="E26" s="93" t="s">
        <v>476</v>
      </c>
      <c r="F26" s="149" t="s">
        <v>446</v>
      </c>
      <c r="G26" s="97">
        <v>9</v>
      </c>
      <c r="H26" s="98" t="s">
        <v>47</v>
      </c>
      <c r="I26" s="18">
        <f>IF(tblLehrgangsinhalte[[#This Row],[UE-Nr.]]&lt;&gt;"",COUNTIF(tblStundenplan[[Spalte2]:[Spalte365]],tblLehrgangsinhalte[[#This Row],[UE-Nr.]]&amp;"*"),"")</f>
        <v>0</v>
      </c>
      <c r="J26" s="18">
        <f>IF(tblLehrgangsinhalte[[#This Row],[UE-Nr.]]&lt;&gt;"",tblLehrgangsinhalte[[#This Row],[Std.-Ansatz]]-tblLehrgangsinhalte[[#This Row],[Std. Verplant]],"")</f>
        <v>9</v>
      </c>
      <c r="K26" s="107"/>
      <c r="L26" s="107"/>
    </row>
    <row r="27" spans="1:12" x14ac:dyDescent="0.25">
      <c r="A27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3011</v>
      </c>
      <c r="B27" s="153">
        <v>30</v>
      </c>
      <c r="C27" s="6" t="str">
        <f>IF(tblLehrgangsinhalte[[#This Row],[Abschn.-Nr.]]&lt;&gt;"",VLOOKUP(tblLehrgangsinhalte[[#This Row],[Abschn.-Nr.]],tblAbschnitte[],2,FALSE),"")</f>
        <v>Technik</v>
      </c>
      <c r="D27" s="91">
        <v>11</v>
      </c>
      <c r="E27" s="93" t="s">
        <v>466</v>
      </c>
      <c r="F27" s="149" t="s">
        <v>446</v>
      </c>
      <c r="G27" s="97">
        <v>2</v>
      </c>
      <c r="H27" s="98" t="s">
        <v>47</v>
      </c>
      <c r="I27" s="18">
        <f>IF(tblLehrgangsinhalte[[#This Row],[UE-Nr.]]&lt;&gt;"",COUNTIF(tblStundenplan[[Spalte2]:[Spalte365]],tblLehrgangsinhalte[[#This Row],[UE-Nr.]]&amp;"*"),"")</f>
        <v>0</v>
      </c>
      <c r="J27" s="18">
        <f>IF(tblLehrgangsinhalte[[#This Row],[UE-Nr.]]&lt;&gt;"",tblLehrgangsinhalte[[#This Row],[Std.-Ansatz]]-tblLehrgangsinhalte[[#This Row],[Std. Verplant]],"")</f>
        <v>2</v>
      </c>
      <c r="K27" s="107"/>
      <c r="L27" s="107"/>
    </row>
    <row r="28" spans="1:12" x14ac:dyDescent="0.25">
      <c r="A28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3012</v>
      </c>
      <c r="B28" s="153">
        <v>30</v>
      </c>
      <c r="C28" s="6" t="str">
        <f>IF(tblLehrgangsinhalte[[#This Row],[Abschn.-Nr.]]&lt;&gt;"",VLOOKUP(tblLehrgangsinhalte[[#This Row],[Abschn.-Nr.]],tblAbschnitte[],2,FALSE),"")</f>
        <v>Technik</v>
      </c>
      <c r="D28" s="91">
        <v>12</v>
      </c>
      <c r="E28" s="93" t="s">
        <v>477</v>
      </c>
      <c r="F28" s="149" t="s">
        <v>446</v>
      </c>
      <c r="G28" s="97">
        <v>2</v>
      </c>
      <c r="H28" s="98" t="s">
        <v>47</v>
      </c>
      <c r="I28" s="18">
        <f>IF(tblLehrgangsinhalte[[#This Row],[UE-Nr.]]&lt;&gt;"",COUNTIF(tblStundenplan[[Spalte2]:[Spalte365]],tblLehrgangsinhalte[[#This Row],[UE-Nr.]]&amp;"*"),"")</f>
        <v>0</v>
      </c>
      <c r="J28" s="18">
        <f>IF(tblLehrgangsinhalte[[#This Row],[UE-Nr.]]&lt;&gt;"",tblLehrgangsinhalte[[#This Row],[Std.-Ansatz]]-tblLehrgangsinhalte[[#This Row],[Std. Verplant]],"")</f>
        <v>2</v>
      </c>
      <c r="K28" s="107"/>
      <c r="L28" s="107"/>
    </row>
    <row r="29" spans="1:12" x14ac:dyDescent="0.25">
      <c r="A29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3013</v>
      </c>
      <c r="B29" s="153">
        <v>30</v>
      </c>
      <c r="C29" s="6" t="str">
        <f>IF(tblLehrgangsinhalte[[#This Row],[Abschn.-Nr.]]&lt;&gt;"",VLOOKUP(tblLehrgangsinhalte[[#This Row],[Abschn.-Nr.]],tblAbschnitte[],2,FALSE),"")</f>
        <v>Technik</v>
      </c>
      <c r="D29" s="91">
        <v>13</v>
      </c>
      <c r="E29" s="93" t="s">
        <v>478</v>
      </c>
      <c r="F29" s="149" t="s">
        <v>446</v>
      </c>
      <c r="G29" s="97">
        <v>2</v>
      </c>
      <c r="H29" s="98" t="s">
        <v>47</v>
      </c>
      <c r="I29" s="18">
        <f>IF(tblLehrgangsinhalte[[#This Row],[UE-Nr.]]&lt;&gt;"",COUNTIF(tblStundenplan[[Spalte2]:[Spalte365]],tblLehrgangsinhalte[[#This Row],[UE-Nr.]]&amp;"*"),"")</f>
        <v>1</v>
      </c>
      <c r="J29" s="18">
        <f>IF(tblLehrgangsinhalte[[#This Row],[UE-Nr.]]&lt;&gt;"",tblLehrgangsinhalte[[#This Row],[Std.-Ansatz]]-tblLehrgangsinhalte[[#This Row],[Std. Verplant]],"")</f>
        <v>1</v>
      </c>
      <c r="K29" s="107"/>
      <c r="L29" s="107"/>
    </row>
    <row r="30" spans="1:12" x14ac:dyDescent="0.25">
      <c r="A30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3014</v>
      </c>
      <c r="B30" s="153">
        <v>30</v>
      </c>
      <c r="C30" s="6" t="str">
        <f>IF(tblLehrgangsinhalte[[#This Row],[Abschn.-Nr.]]&lt;&gt;"",VLOOKUP(tblLehrgangsinhalte[[#This Row],[Abschn.-Nr.]],tblAbschnitte[],2,FALSE),"")</f>
        <v>Technik</v>
      </c>
      <c r="D30" s="91">
        <v>14</v>
      </c>
      <c r="E30" s="93" t="s">
        <v>479</v>
      </c>
      <c r="F30" s="149" t="s">
        <v>446</v>
      </c>
      <c r="G30" s="97">
        <v>1</v>
      </c>
      <c r="H30" s="98" t="s">
        <v>47</v>
      </c>
      <c r="I30" s="18">
        <f>IF(tblLehrgangsinhalte[[#This Row],[UE-Nr.]]&lt;&gt;"",COUNTIF(tblStundenplan[[Spalte2]:[Spalte365]],tblLehrgangsinhalte[[#This Row],[UE-Nr.]]&amp;"*"),"")</f>
        <v>0</v>
      </c>
      <c r="J30" s="18">
        <f>IF(tblLehrgangsinhalte[[#This Row],[UE-Nr.]]&lt;&gt;"",tblLehrgangsinhalte[[#This Row],[Std.-Ansatz]]-tblLehrgangsinhalte[[#This Row],[Std. Verplant]],"")</f>
        <v>1</v>
      </c>
      <c r="K30" s="107"/>
      <c r="L30" s="107"/>
    </row>
    <row r="31" spans="1:12" x14ac:dyDescent="0.25">
      <c r="A31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3015</v>
      </c>
      <c r="B31" s="153">
        <v>30</v>
      </c>
      <c r="C31" s="6" t="str">
        <f>IF(tblLehrgangsinhalte[[#This Row],[Abschn.-Nr.]]&lt;&gt;"",VLOOKUP(tblLehrgangsinhalte[[#This Row],[Abschn.-Nr.]],tblAbschnitte[],2,FALSE),"")</f>
        <v>Technik</v>
      </c>
      <c r="D31" s="91">
        <v>15</v>
      </c>
      <c r="E31" s="93" t="s">
        <v>480</v>
      </c>
      <c r="F31" s="149" t="s">
        <v>446</v>
      </c>
      <c r="G31" s="97">
        <v>2</v>
      </c>
      <c r="H31" s="98" t="s">
        <v>47</v>
      </c>
      <c r="I31" s="18">
        <f>IF(tblLehrgangsinhalte[[#This Row],[UE-Nr.]]&lt;&gt;"",COUNTIF(tblStundenplan[[Spalte2]:[Spalte365]],tblLehrgangsinhalte[[#This Row],[UE-Nr.]]&amp;"*"),"")</f>
        <v>0</v>
      </c>
      <c r="J31" s="18">
        <f>IF(tblLehrgangsinhalte[[#This Row],[UE-Nr.]]&lt;&gt;"",tblLehrgangsinhalte[[#This Row],[Std.-Ansatz]]-tblLehrgangsinhalte[[#This Row],[Std. Verplant]],"")</f>
        <v>2</v>
      </c>
      <c r="K31" s="107"/>
      <c r="L31" s="107"/>
    </row>
    <row r="32" spans="1:12" x14ac:dyDescent="0.25">
      <c r="A32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4011</v>
      </c>
      <c r="B32" s="153">
        <v>40</v>
      </c>
      <c r="C32" s="6" t="str">
        <f>IF(tblLehrgangsinhalte[[#This Row],[Abschn.-Nr.]]&lt;&gt;"",VLOOKUP(tblLehrgangsinhalte[[#This Row],[Abschn.-Nr.]],tblAbschnitte[],2,FALSE),"")</f>
        <v>Seemännischer Dienst</v>
      </c>
      <c r="D32" s="91">
        <v>11</v>
      </c>
      <c r="E32" s="93" t="s">
        <v>481</v>
      </c>
      <c r="F32" s="149" t="s">
        <v>446</v>
      </c>
      <c r="G32" s="97">
        <v>5</v>
      </c>
      <c r="H32" s="98" t="s">
        <v>47</v>
      </c>
      <c r="I32" s="18">
        <f>IF(tblLehrgangsinhalte[[#This Row],[UE-Nr.]]&lt;&gt;"",COUNTIF(tblStundenplan[[Spalte2]:[Spalte365]],tblLehrgangsinhalte[[#This Row],[UE-Nr.]]&amp;"*"),"")</f>
        <v>0</v>
      </c>
      <c r="J32" s="18">
        <f>IF(tblLehrgangsinhalte[[#This Row],[UE-Nr.]]&lt;&gt;"",tblLehrgangsinhalte[[#This Row],[Std.-Ansatz]]-tblLehrgangsinhalte[[#This Row],[Std. Verplant]],"")</f>
        <v>5</v>
      </c>
      <c r="K32" s="107"/>
      <c r="L32" s="107"/>
    </row>
    <row r="33" spans="1:12" x14ac:dyDescent="0.25">
      <c r="A33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4012</v>
      </c>
      <c r="B33" s="153">
        <v>40</v>
      </c>
      <c r="C33" s="6" t="str">
        <f>IF(tblLehrgangsinhalte[[#This Row],[Abschn.-Nr.]]&lt;&gt;"",VLOOKUP(tblLehrgangsinhalte[[#This Row],[Abschn.-Nr.]],tblAbschnitte[],2,FALSE),"")</f>
        <v>Seemännischer Dienst</v>
      </c>
      <c r="D33" s="91">
        <v>12</v>
      </c>
      <c r="E33" s="93" t="s">
        <v>482</v>
      </c>
      <c r="F33" s="149" t="s">
        <v>446</v>
      </c>
      <c r="G33" s="97">
        <v>5</v>
      </c>
      <c r="H33" s="98" t="s">
        <v>47</v>
      </c>
      <c r="I33" s="18">
        <f>IF(tblLehrgangsinhalte[[#This Row],[UE-Nr.]]&lt;&gt;"",COUNTIF(tblStundenplan[[Spalte2]:[Spalte365]],tblLehrgangsinhalte[[#This Row],[UE-Nr.]]&amp;"*"),"")</f>
        <v>0</v>
      </c>
      <c r="J33" s="18">
        <f>IF(tblLehrgangsinhalte[[#This Row],[UE-Nr.]]&lt;&gt;"",tblLehrgangsinhalte[[#This Row],[Std.-Ansatz]]-tblLehrgangsinhalte[[#This Row],[Std. Verplant]],"")</f>
        <v>5</v>
      </c>
      <c r="K33" s="107"/>
      <c r="L33" s="107"/>
    </row>
    <row r="34" spans="1:12" x14ac:dyDescent="0.25">
      <c r="A34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4013</v>
      </c>
      <c r="B34" s="153">
        <v>40</v>
      </c>
      <c r="C34" s="6" t="str">
        <f>IF(tblLehrgangsinhalte[[#This Row],[Abschn.-Nr.]]&lt;&gt;"",VLOOKUP(tblLehrgangsinhalte[[#This Row],[Abschn.-Nr.]],tblAbschnitte[],2,FALSE),"")</f>
        <v>Seemännischer Dienst</v>
      </c>
      <c r="D34" s="91">
        <v>13</v>
      </c>
      <c r="E34" s="93" t="s">
        <v>483</v>
      </c>
      <c r="F34" s="149" t="s">
        <v>446</v>
      </c>
      <c r="G34" s="97">
        <v>2</v>
      </c>
      <c r="H34" s="98" t="s">
        <v>47</v>
      </c>
      <c r="I34" s="18">
        <f>IF(tblLehrgangsinhalte[[#This Row],[UE-Nr.]]&lt;&gt;"",COUNTIF(tblStundenplan[[Spalte2]:[Spalte365]],tblLehrgangsinhalte[[#This Row],[UE-Nr.]]&amp;"*"),"")</f>
        <v>0</v>
      </c>
      <c r="J34" s="18">
        <f>IF(tblLehrgangsinhalte[[#This Row],[UE-Nr.]]&lt;&gt;"",tblLehrgangsinhalte[[#This Row],[Std.-Ansatz]]-tblLehrgangsinhalte[[#This Row],[Std. Verplant]],"")</f>
        <v>2</v>
      </c>
      <c r="K34" s="107"/>
      <c r="L34" s="107"/>
    </row>
    <row r="35" spans="1:12" x14ac:dyDescent="0.25">
      <c r="A35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4014</v>
      </c>
      <c r="B35" s="153">
        <v>40</v>
      </c>
      <c r="C35" s="6" t="str">
        <f>IF(tblLehrgangsinhalte[[#This Row],[Abschn.-Nr.]]&lt;&gt;"",VLOOKUP(tblLehrgangsinhalte[[#This Row],[Abschn.-Nr.]],tblAbschnitte[],2,FALSE),"")</f>
        <v>Seemännischer Dienst</v>
      </c>
      <c r="D35" s="91">
        <v>14</v>
      </c>
      <c r="E35" s="93" t="s">
        <v>484</v>
      </c>
      <c r="F35" s="149" t="s">
        <v>446</v>
      </c>
      <c r="G35" s="97">
        <v>2</v>
      </c>
      <c r="H35" s="98" t="s">
        <v>47</v>
      </c>
      <c r="I35" s="18">
        <f>IF(tblLehrgangsinhalte[[#This Row],[UE-Nr.]]&lt;&gt;"",COUNTIF(tblStundenplan[[Spalte2]:[Spalte365]],tblLehrgangsinhalte[[#This Row],[UE-Nr.]]&amp;"*"),"")</f>
        <v>0</v>
      </c>
      <c r="J35" s="18">
        <f>IF(tblLehrgangsinhalte[[#This Row],[UE-Nr.]]&lt;&gt;"",tblLehrgangsinhalte[[#This Row],[Std.-Ansatz]]-tblLehrgangsinhalte[[#This Row],[Std. Verplant]],"")</f>
        <v>2</v>
      </c>
      <c r="K35" s="107"/>
      <c r="L35" s="107"/>
    </row>
    <row r="36" spans="1:12" x14ac:dyDescent="0.25">
      <c r="A36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4015</v>
      </c>
      <c r="B36" s="153">
        <v>40</v>
      </c>
      <c r="C36" s="6" t="str">
        <f>IF(tblLehrgangsinhalte[[#This Row],[Abschn.-Nr.]]&lt;&gt;"",VLOOKUP(tblLehrgangsinhalte[[#This Row],[Abschn.-Nr.]],tblAbschnitte[],2,FALSE),"")</f>
        <v>Seemännischer Dienst</v>
      </c>
      <c r="D36" s="91">
        <v>15</v>
      </c>
      <c r="E36" s="93" t="s">
        <v>485</v>
      </c>
      <c r="F36" s="149" t="s">
        <v>446</v>
      </c>
      <c r="G36" s="97">
        <v>2</v>
      </c>
      <c r="H36" s="98" t="s">
        <v>47</v>
      </c>
      <c r="I36" s="18">
        <f>IF(tblLehrgangsinhalte[[#This Row],[UE-Nr.]]&lt;&gt;"",COUNTIF(tblStundenplan[[Spalte2]:[Spalte365]],tblLehrgangsinhalte[[#This Row],[UE-Nr.]]&amp;"*"),"")</f>
        <v>0</v>
      </c>
      <c r="J36" s="18">
        <f>IF(tblLehrgangsinhalte[[#This Row],[UE-Nr.]]&lt;&gt;"",tblLehrgangsinhalte[[#This Row],[Std.-Ansatz]]-tblLehrgangsinhalte[[#This Row],[Std. Verplant]],"")</f>
        <v>2</v>
      </c>
      <c r="K36" s="107"/>
      <c r="L36" s="107"/>
    </row>
    <row r="37" spans="1:12" x14ac:dyDescent="0.25">
      <c r="A37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5011</v>
      </c>
      <c r="B37" s="153">
        <v>50</v>
      </c>
      <c r="C37" s="6" t="str">
        <f>IF(tblLehrgangsinhalte[[#This Row],[Abschn.-Nr.]]&lt;&gt;"",VLOOKUP(tblLehrgangsinhalte[[#This Row],[Abschn.-Nr.]],tblAbschnitte[],2,FALSE),"")</f>
        <v>Nautik</v>
      </c>
      <c r="D37" s="91">
        <v>11</v>
      </c>
      <c r="E37" s="93" t="s">
        <v>467</v>
      </c>
      <c r="F37" s="149" t="s">
        <v>446</v>
      </c>
      <c r="G37" s="97">
        <v>2</v>
      </c>
      <c r="H37" s="98" t="s">
        <v>47</v>
      </c>
      <c r="I37" s="18">
        <f>IF(tblLehrgangsinhalte[[#This Row],[UE-Nr.]]&lt;&gt;"",COUNTIF(tblStundenplan[[Spalte2]:[Spalte365]],tblLehrgangsinhalte[[#This Row],[UE-Nr.]]&amp;"*"),"")</f>
        <v>0</v>
      </c>
      <c r="J37" s="18">
        <f>IF(tblLehrgangsinhalte[[#This Row],[UE-Nr.]]&lt;&gt;"",tblLehrgangsinhalte[[#This Row],[Std.-Ansatz]]-tblLehrgangsinhalte[[#This Row],[Std. Verplant]],"")</f>
        <v>2</v>
      </c>
      <c r="K37" s="107"/>
      <c r="L37" s="107"/>
    </row>
    <row r="38" spans="1:12" x14ac:dyDescent="0.25">
      <c r="A38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5012</v>
      </c>
      <c r="B38" s="153">
        <v>50</v>
      </c>
      <c r="C38" s="15" t="str">
        <f>IF(tblLehrgangsinhalte[[#This Row],[Abschn.-Nr.]]&lt;&gt;"",VLOOKUP(tblLehrgangsinhalte[[#This Row],[Abschn.-Nr.]],tblAbschnitte[],2,FALSE),"")</f>
        <v>Nautik</v>
      </c>
      <c r="D38" s="91">
        <v>12</v>
      </c>
      <c r="E38" s="93" t="s">
        <v>468</v>
      </c>
      <c r="F38" s="149" t="s">
        <v>446</v>
      </c>
      <c r="G38" s="97">
        <v>18</v>
      </c>
      <c r="H38" s="98" t="s">
        <v>48</v>
      </c>
      <c r="I38" s="18">
        <f>IF(tblLehrgangsinhalte[[#This Row],[UE-Nr.]]&lt;&gt;"",COUNTIF(tblStundenplan[[Spalte2]:[Spalte365]],tblLehrgangsinhalte[[#This Row],[UE-Nr.]]&amp;"*"),"")</f>
        <v>0</v>
      </c>
      <c r="J38" s="18">
        <f>IF(tblLehrgangsinhalte[[#This Row],[UE-Nr.]]&lt;&gt;"",tblLehrgangsinhalte[[#This Row],[Std.-Ansatz]]-tblLehrgangsinhalte[[#This Row],[Std. Verplant]],"")</f>
        <v>18</v>
      </c>
      <c r="K38" s="107"/>
      <c r="L38" s="107"/>
    </row>
    <row r="39" spans="1:12" x14ac:dyDescent="0.25">
      <c r="A39" s="27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5013</v>
      </c>
      <c r="B39" s="153">
        <v>50</v>
      </c>
      <c r="C39" s="6" t="str">
        <f>IF(tblLehrgangsinhalte[[#This Row],[Abschn.-Nr.]]&lt;&gt;"",VLOOKUP(tblLehrgangsinhalte[[#This Row],[Abschn.-Nr.]],tblAbschnitte[],2,FALSE),"")</f>
        <v>Nautik</v>
      </c>
      <c r="D39" s="91">
        <v>13</v>
      </c>
      <c r="E39" s="93" t="s">
        <v>486</v>
      </c>
      <c r="F39" s="149" t="s">
        <v>446</v>
      </c>
      <c r="G39" s="97">
        <v>5</v>
      </c>
      <c r="H39" s="98" t="s">
        <v>47</v>
      </c>
      <c r="I39" s="18">
        <f>IF(tblLehrgangsinhalte[[#This Row],[UE-Nr.]]&lt;&gt;"",COUNTIF(tblStundenplan[[Spalte2]:[Spalte365]],tblLehrgangsinhalte[[#This Row],[UE-Nr.]]&amp;"*"),"")</f>
        <v>1</v>
      </c>
      <c r="J39" s="18">
        <f>IF(tblLehrgangsinhalte[[#This Row],[UE-Nr.]]&lt;&gt;"",tblLehrgangsinhalte[[#This Row],[Std.-Ansatz]]-tblLehrgangsinhalte[[#This Row],[Std. Verplant]],"")</f>
        <v>4</v>
      </c>
      <c r="K39" s="107"/>
      <c r="L39" s="107"/>
    </row>
    <row r="40" spans="1:12" x14ac:dyDescent="0.25">
      <c r="A40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5014</v>
      </c>
      <c r="B40" s="153">
        <v>50</v>
      </c>
      <c r="C40" s="6" t="str">
        <f>IF(tblLehrgangsinhalte[[#This Row],[Abschn.-Nr.]]&lt;&gt;"",VLOOKUP(tblLehrgangsinhalte[[#This Row],[Abschn.-Nr.]],tblAbschnitte[],2,FALSE),"")</f>
        <v>Nautik</v>
      </c>
      <c r="D40" s="91">
        <v>14</v>
      </c>
      <c r="E40" s="93" t="s">
        <v>487</v>
      </c>
      <c r="F40" s="169" t="s">
        <v>440</v>
      </c>
      <c r="G40" s="97">
        <v>2</v>
      </c>
      <c r="H40" s="98" t="s">
        <v>47</v>
      </c>
      <c r="I40" s="18">
        <f>IF(tblLehrgangsinhalte[[#This Row],[UE-Nr.]]&lt;&gt;"",COUNTIF(tblStundenplan[[Spalte2]:[Spalte365]],tblLehrgangsinhalte[[#This Row],[UE-Nr.]]&amp;"*"),"")</f>
        <v>0</v>
      </c>
      <c r="J40" s="18">
        <f>IF(tblLehrgangsinhalte[[#This Row],[UE-Nr.]]&lt;&gt;"",tblLehrgangsinhalte[[#This Row],[Std.-Ansatz]]-tblLehrgangsinhalte[[#This Row],[Std. Verplant]],"")</f>
        <v>2</v>
      </c>
      <c r="K40" s="107"/>
      <c r="L40" s="107"/>
    </row>
    <row r="41" spans="1:12" x14ac:dyDescent="0.25">
      <c r="A41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5015</v>
      </c>
      <c r="B41" s="153">
        <v>50</v>
      </c>
      <c r="C41" s="6" t="str">
        <f>IF(tblLehrgangsinhalte[[#This Row],[Abschn.-Nr.]]&lt;&gt;"",VLOOKUP(tblLehrgangsinhalte[[#This Row],[Abschn.-Nr.]],tblAbschnitte[],2,FALSE),"")</f>
        <v>Nautik</v>
      </c>
      <c r="D41" s="91">
        <v>15</v>
      </c>
      <c r="E41" s="93" t="s">
        <v>488</v>
      </c>
      <c r="F41" s="169" t="s">
        <v>440</v>
      </c>
      <c r="G41" s="97">
        <v>5</v>
      </c>
      <c r="H41" s="98" t="s">
        <v>47</v>
      </c>
      <c r="I41" s="18">
        <f>IF(tblLehrgangsinhalte[[#This Row],[UE-Nr.]]&lt;&gt;"",COUNTIF(tblStundenplan[[Spalte2]:[Spalte365]],tblLehrgangsinhalte[[#This Row],[UE-Nr.]]&amp;"*"),"")</f>
        <v>0</v>
      </c>
      <c r="J41" s="18">
        <f>IF(tblLehrgangsinhalte[[#This Row],[UE-Nr.]]&lt;&gt;"",tblLehrgangsinhalte[[#This Row],[Std.-Ansatz]]-tblLehrgangsinhalte[[#This Row],[Std. Verplant]],"")</f>
        <v>5</v>
      </c>
      <c r="K41" s="107"/>
      <c r="L41" s="107"/>
    </row>
    <row r="42" spans="1:12" x14ac:dyDescent="0.25">
      <c r="A42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5016</v>
      </c>
      <c r="B42" s="153">
        <v>50</v>
      </c>
      <c r="C42" s="6" t="str">
        <f>IF(tblLehrgangsinhalte[[#This Row],[Abschn.-Nr.]]&lt;&gt;"",VLOOKUP(tblLehrgangsinhalte[[#This Row],[Abschn.-Nr.]],tblAbschnitte[],2,FALSE),"")</f>
        <v>Nautik</v>
      </c>
      <c r="D42" s="91">
        <v>16</v>
      </c>
      <c r="E42" s="93" t="s">
        <v>489</v>
      </c>
      <c r="F42" s="169" t="s">
        <v>440</v>
      </c>
      <c r="G42" s="97">
        <v>1</v>
      </c>
      <c r="H42" s="98" t="s">
        <v>47</v>
      </c>
      <c r="I42" s="18">
        <f>IF(tblLehrgangsinhalte[[#This Row],[UE-Nr.]]&lt;&gt;"",COUNTIF(tblStundenplan[[Spalte2]:[Spalte365]],tblLehrgangsinhalte[[#This Row],[UE-Nr.]]&amp;"*"),"")</f>
        <v>0</v>
      </c>
      <c r="J42" s="18">
        <f>IF(tblLehrgangsinhalte[[#This Row],[UE-Nr.]]&lt;&gt;"",tblLehrgangsinhalte[[#This Row],[Std.-Ansatz]]-tblLehrgangsinhalte[[#This Row],[Std. Verplant]],"")</f>
        <v>1</v>
      </c>
      <c r="K42" s="107"/>
      <c r="L42" s="107"/>
    </row>
    <row r="43" spans="1:12" x14ac:dyDescent="0.25">
      <c r="A43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5017</v>
      </c>
      <c r="B43" s="153">
        <v>50</v>
      </c>
      <c r="C43" s="6" t="str">
        <f>IF(tblLehrgangsinhalte[[#This Row],[Abschn.-Nr.]]&lt;&gt;"",VLOOKUP(tblLehrgangsinhalte[[#This Row],[Abschn.-Nr.]],tblAbschnitte[],2,FALSE),"")</f>
        <v>Nautik</v>
      </c>
      <c r="D43" s="91">
        <v>17</v>
      </c>
      <c r="E43" s="93" t="s">
        <v>490</v>
      </c>
      <c r="F43" s="169" t="s">
        <v>440</v>
      </c>
      <c r="G43" s="97">
        <v>5</v>
      </c>
      <c r="H43" s="98" t="s">
        <v>47</v>
      </c>
      <c r="I43" s="18">
        <f>IF(tblLehrgangsinhalte[[#This Row],[UE-Nr.]]&lt;&gt;"",COUNTIF(tblStundenplan[[Spalte2]:[Spalte365]],tblLehrgangsinhalte[[#This Row],[UE-Nr.]]&amp;"*"),"")</f>
        <v>0</v>
      </c>
      <c r="J43" s="18">
        <f>IF(tblLehrgangsinhalte[[#This Row],[UE-Nr.]]&lt;&gt;"",tblLehrgangsinhalte[[#This Row],[Std.-Ansatz]]-tblLehrgangsinhalte[[#This Row],[Std. Verplant]],"")</f>
        <v>5</v>
      </c>
      <c r="K43" s="107"/>
      <c r="L43" s="107"/>
    </row>
    <row r="44" spans="1:12" x14ac:dyDescent="0.25">
      <c r="A44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5018</v>
      </c>
      <c r="B44" s="153">
        <v>50</v>
      </c>
      <c r="C44" s="6" t="str">
        <f>IF(tblLehrgangsinhalte[[#This Row],[Abschn.-Nr.]]&lt;&gt;"",VLOOKUP(tblLehrgangsinhalte[[#This Row],[Abschn.-Nr.]],tblAbschnitte[],2,FALSE),"")</f>
        <v>Nautik</v>
      </c>
      <c r="D44" s="91">
        <v>18</v>
      </c>
      <c r="E44" s="93" t="s">
        <v>491</v>
      </c>
      <c r="F44" s="169" t="s">
        <v>440</v>
      </c>
      <c r="G44" s="97">
        <v>5</v>
      </c>
      <c r="H44" s="98" t="s">
        <v>47</v>
      </c>
      <c r="I44" s="18">
        <f>IF(tblLehrgangsinhalte[[#This Row],[UE-Nr.]]&lt;&gt;"",COUNTIF(tblStundenplan[[Spalte2]:[Spalte365]],tblLehrgangsinhalte[[#This Row],[UE-Nr.]]&amp;"*"),"")</f>
        <v>0</v>
      </c>
      <c r="J44" s="18">
        <f>IF(tblLehrgangsinhalte[[#This Row],[UE-Nr.]]&lt;&gt;"",tblLehrgangsinhalte[[#This Row],[Std.-Ansatz]]-tblLehrgangsinhalte[[#This Row],[Std. Verplant]],"")</f>
        <v>5</v>
      </c>
      <c r="K44" s="107"/>
      <c r="L44" s="107"/>
    </row>
    <row r="45" spans="1:12" x14ac:dyDescent="0.25">
      <c r="A45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5019</v>
      </c>
      <c r="B45" s="153">
        <v>50</v>
      </c>
      <c r="C45" s="6" t="str">
        <f>IF(tblLehrgangsinhalte[[#This Row],[Abschn.-Nr.]]&lt;&gt;"",VLOOKUP(tblLehrgangsinhalte[[#This Row],[Abschn.-Nr.]],tblAbschnitte[],2,FALSE),"")</f>
        <v>Nautik</v>
      </c>
      <c r="D45" s="91">
        <v>19</v>
      </c>
      <c r="E45" s="93" t="s">
        <v>492</v>
      </c>
      <c r="F45" s="169" t="s">
        <v>440</v>
      </c>
      <c r="G45" s="97">
        <v>4</v>
      </c>
      <c r="H45" s="98" t="s">
        <v>47</v>
      </c>
      <c r="I45" s="18">
        <f>IF(tblLehrgangsinhalte[[#This Row],[UE-Nr.]]&lt;&gt;"",COUNTIF(tblStundenplan[[Spalte2]:[Spalte365]],tblLehrgangsinhalte[[#This Row],[UE-Nr.]]&amp;"*"),"")</f>
        <v>0</v>
      </c>
      <c r="J45" s="18">
        <f>IF(tblLehrgangsinhalte[[#This Row],[UE-Nr.]]&lt;&gt;"",tblLehrgangsinhalte[[#This Row],[Std.-Ansatz]]-tblLehrgangsinhalte[[#This Row],[Std. Verplant]],"")</f>
        <v>4</v>
      </c>
      <c r="K45" s="107"/>
      <c r="L45" s="107"/>
    </row>
    <row r="46" spans="1:12" x14ac:dyDescent="0.25">
      <c r="A46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5020</v>
      </c>
      <c r="B46" s="153">
        <v>50</v>
      </c>
      <c r="C46" s="6" t="str">
        <f>IF(tblLehrgangsinhalte[[#This Row],[Abschn.-Nr.]]&lt;&gt;"",VLOOKUP(tblLehrgangsinhalte[[#This Row],[Abschn.-Nr.]],tblAbschnitte[],2,FALSE),"")</f>
        <v>Nautik</v>
      </c>
      <c r="D46" s="91">
        <v>20</v>
      </c>
      <c r="E46" s="93" t="s">
        <v>493</v>
      </c>
      <c r="F46" s="169" t="s">
        <v>440</v>
      </c>
      <c r="G46" s="97">
        <v>3</v>
      </c>
      <c r="H46" s="98" t="s">
        <v>47</v>
      </c>
      <c r="I46" s="18">
        <f>IF(tblLehrgangsinhalte[[#This Row],[UE-Nr.]]&lt;&gt;"",COUNTIF(tblStundenplan[[Spalte2]:[Spalte365]],tblLehrgangsinhalte[[#This Row],[UE-Nr.]]&amp;"*"),"")</f>
        <v>0</v>
      </c>
      <c r="J46" s="18">
        <f>IF(tblLehrgangsinhalte[[#This Row],[UE-Nr.]]&lt;&gt;"",tblLehrgangsinhalte[[#This Row],[Std.-Ansatz]]-tblLehrgangsinhalte[[#This Row],[Std. Verplant]],"")</f>
        <v>3</v>
      </c>
      <c r="K46" s="107"/>
      <c r="L46" s="107"/>
    </row>
    <row r="47" spans="1:12" x14ac:dyDescent="0.25">
      <c r="A47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5021</v>
      </c>
      <c r="B47" s="153">
        <v>50</v>
      </c>
      <c r="C47" s="6" t="str">
        <f>IF(tblLehrgangsinhalte[[#This Row],[Abschn.-Nr.]]&lt;&gt;"",VLOOKUP(tblLehrgangsinhalte[[#This Row],[Abschn.-Nr.]],tblAbschnitte[],2,FALSE),"")</f>
        <v>Nautik</v>
      </c>
      <c r="D47" s="91">
        <v>21</v>
      </c>
      <c r="E47" s="93" t="s">
        <v>494</v>
      </c>
      <c r="F47" s="169" t="s">
        <v>440</v>
      </c>
      <c r="G47" s="97">
        <v>2</v>
      </c>
      <c r="H47" s="98" t="s">
        <v>47</v>
      </c>
      <c r="I47" s="18">
        <f>IF(tblLehrgangsinhalte[[#This Row],[UE-Nr.]]&lt;&gt;"",COUNTIF(tblStundenplan[[Spalte2]:[Spalte365]],tblLehrgangsinhalte[[#This Row],[UE-Nr.]]&amp;"*"),"")</f>
        <v>0</v>
      </c>
      <c r="J47" s="18">
        <f>IF(tblLehrgangsinhalte[[#This Row],[UE-Nr.]]&lt;&gt;"",tblLehrgangsinhalte[[#This Row],[Std.-Ansatz]]-tblLehrgangsinhalte[[#This Row],[Std. Verplant]],"")</f>
        <v>2</v>
      </c>
      <c r="K47" s="107"/>
      <c r="L47" s="107"/>
    </row>
    <row r="48" spans="1:12" x14ac:dyDescent="0.25">
      <c r="A48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5022</v>
      </c>
      <c r="B48" s="153">
        <v>50</v>
      </c>
      <c r="C48" s="6" t="str">
        <f>IF(tblLehrgangsinhalte[[#This Row],[Abschn.-Nr.]]&lt;&gt;"",VLOOKUP(tblLehrgangsinhalte[[#This Row],[Abschn.-Nr.]],tblAbschnitte[],2,FALSE),"")</f>
        <v>Nautik</v>
      </c>
      <c r="D48" s="91">
        <v>22</v>
      </c>
      <c r="E48" s="93" t="s">
        <v>495</v>
      </c>
      <c r="F48" s="169" t="s">
        <v>440</v>
      </c>
      <c r="G48" s="97">
        <v>5</v>
      </c>
      <c r="H48" s="98" t="s">
        <v>47</v>
      </c>
      <c r="I48" s="18">
        <f>IF(tblLehrgangsinhalte[[#This Row],[UE-Nr.]]&lt;&gt;"",COUNTIF(tblStundenplan[[Spalte2]:[Spalte365]],tblLehrgangsinhalte[[#This Row],[UE-Nr.]]&amp;"*"),"")</f>
        <v>1</v>
      </c>
      <c r="J48" s="18">
        <f>IF(tblLehrgangsinhalte[[#This Row],[UE-Nr.]]&lt;&gt;"",tblLehrgangsinhalte[[#This Row],[Std.-Ansatz]]-tblLehrgangsinhalte[[#This Row],[Std. Verplant]],"")</f>
        <v>4</v>
      </c>
      <c r="K48" s="107"/>
      <c r="L48" s="107"/>
    </row>
    <row r="49" spans="1:12" x14ac:dyDescent="0.25">
      <c r="A49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5023</v>
      </c>
      <c r="B49" s="153">
        <v>50</v>
      </c>
      <c r="C49" s="6" t="str">
        <f>IF(tblLehrgangsinhalte[[#This Row],[Abschn.-Nr.]]&lt;&gt;"",VLOOKUP(tblLehrgangsinhalte[[#This Row],[Abschn.-Nr.]],tblAbschnitte[],2,FALSE),"")</f>
        <v>Nautik</v>
      </c>
      <c r="D49" s="91">
        <v>23</v>
      </c>
      <c r="E49" s="93" t="s">
        <v>496</v>
      </c>
      <c r="F49" s="169" t="s">
        <v>440</v>
      </c>
      <c r="G49" s="97">
        <v>41</v>
      </c>
      <c r="H49" s="98" t="s">
        <v>48</v>
      </c>
      <c r="I49" s="18">
        <f>IF(tblLehrgangsinhalte[[#This Row],[UE-Nr.]]&lt;&gt;"",COUNTIF(tblStundenplan[[Spalte2]:[Spalte365]],tblLehrgangsinhalte[[#This Row],[UE-Nr.]]&amp;"*"),"")</f>
        <v>0</v>
      </c>
      <c r="J49" s="18">
        <f>IF(tblLehrgangsinhalte[[#This Row],[UE-Nr.]]&lt;&gt;"",tblLehrgangsinhalte[[#This Row],[Std.-Ansatz]]-tblLehrgangsinhalte[[#This Row],[Std. Verplant]],"")</f>
        <v>41</v>
      </c>
      <c r="K49" s="107"/>
      <c r="L49" s="107"/>
    </row>
    <row r="50" spans="1:12" x14ac:dyDescent="0.25">
      <c r="A50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6011</v>
      </c>
      <c r="B50" s="153">
        <v>60</v>
      </c>
      <c r="C50" s="6" t="str">
        <f>IF(tblLehrgangsinhalte[[#This Row],[Abschn.-Nr.]]&lt;&gt;"",VLOOKUP(tblLehrgangsinhalte[[#This Row],[Abschn.-Nr.]],tblAbschnitte[],2,FALSE),"")</f>
        <v>Sonstige Dienste</v>
      </c>
      <c r="D50" s="91">
        <v>11</v>
      </c>
      <c r="E50" s="93" t="s">
        <v>497</v>
      </c>
      <c r="F50" s="169" t="s">
        <v>440</v>
      </c>
      <c r="G50" s="97">
        <v>4</v>
      </c>
      <c r="H50" s="98" t="s">
        <v>47</v>
      </c>
      <c r="I50" s="18">
        <f>IF(tblLehrgangsinhalte[[#This Row],[UE-Nr.]]&lt;&gt;"",COUNTIF(tblStundenplan[[Spalte2]:[Spalte365]],tblLehrgangsinhalte[[#This Row],[UE-Nr.]]&amp;"*"),"")</f>
        <v>0</v>
      </c>
      <c r="J50" s="18">
        <f>IF(tblLehrgangsinhalte[[#This Row],[UE-Nr.]]&lt;&gt;"",tblLehrgangsinhalte[[#This Row],[Std.-Ansatz]]-tblLehrgangsinhalte[[#This Row],[Std. Verplant]],"")</f>
        <v>4</v>
      </c>
      <c r="K50" s="107"/>
      <c r="L50" s="107"/>
    </row>
    <row r="51" spans="1:12" x14ac:dyDescent="0.25">
      <c r="A51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6012</v>
      </c>
      <c r="B51" s="153">
        <v>60</v>
      </c>
      <c r="C51" s="6" t="str">
        <f>IF(tblLehrgangsinhalte[[#This Row],[Abschn.-Nr.]]&lt;&gt;"",VLOOKUP(tblLehrgangsinhalte[[#This Row],[Abschn.-Nr.]],tblAbschnitte[],2,FALSE),"")</f>
        <v>Sonstige Dienste</v>
      </c>
      <c r="D51" s="91">
        <v>12</v>
      </c>
      <c r="E51" s="93" t="s">
        <v>498</v>
      </c>
      <c r="F51" s="169" t="s">
        <v>440</v>
      </c>
      <c r="G51" s="97">
        <v>5</v>
      </c>
      <c r="H51" s="98" t="s">
        <v>47</v>
      </c>
      <c r="I51" s="18">
        <f>IF(tblLehrgangsinhalte[[#This Row],[UE-Nr.]]&lt;&gt;"",COUNTIF(tblStundenplan[[Spalte2]:[Spalte365]],tblLehrgangsinhalte[[#This Row],[UE-Nr.]]&amp;"*"),"")</f>
        <v>0</v>
      </c>
      <c r="J51" s="18">
        <f>IF(tblLehrgangsinhalte[[#This Row],[UE-Nr.]]&lt;&gt;"",tblLehrgangsinhalte[[#This Row],[Std.-Ansatz]]-tblLehrgangsinhalte[[#This Row],[Std. Verplant]],"")</f>
        <v>5</v>
      </c>
      <c r="K51" s="107"/>
      <c r="L51" s="107"/>
    </row>
    <row r="52" spans="1:12" x14ac:dyDescent="0.25">
      <c r="A52" s="25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>6013</v>
      </c>
      <c r="B52" s="153">
        <v>60</v>
      </c>
      <c r="C52" s="6" t="str">
        <f>IF(tblLehrgangsinhalte[[#This Row],[Abschn.-Nr.]]&lt;&gt;"",VLOOKUP(tblLehrgangsinhalte[[#This Row],[Abschn.-Nr.]],tblAbschnitte[],2,FALSE),"")</f>
        <v>Sonstige Dienste</v>
      </c>
      <c r="D52" s="91">
        <v>13</v>
      </c>
      <c r="E52" s="93" t="s">
        <v>499</v>
      </c>
      <c r="F52" s="170" t="s">
        <v>440</v>
      </c>
      <c r="G52" s="100">
        <v>41</v>
      </c>
      <c r="H52" s="98" t="s">
        <v>47</v>
      </c>
      <c r="I52" s="20">
        <f>IF(tblLehrgangsinhalte[[#This Row],[UE-Nr.]]&lt;&gt;"",COUNTIF(tblStundenplan[[Spalte2]:[Spalte365]],tblLehrgangsinhalte[[#This Row],[UE-Nr.]]&amp;"*"),"")</f>
        <v>0</v>
      </c>
      <c r="J52" s="20">
        <f>IF(tblLehrgangsinhalte[[#This Row],[UE-Nr.]]&lt;&gt;"",tblLehrgangsinhalte[[#This Row],[Std.-Ansatz]]-tblLehrgangsinhalte[[#This Row],[Std. Verplant]],"")</f>
        <v>41</v>
      </c>
      <c r="K52" s="107"/>
      <c r="L52" s="107"/>
    </row>
    <row r="53" spans="1:12" ht="15" customHeight="1" x14ac:dyDescent="0.25">
      <c r="A53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3" s="152"/>
      <c r="C53" s="6" t="str">
        <f>IF(tblLehrgangsinhalte[[#This Row],[Abschn.-Nr.]]&lt;&gt;"",VLOOKUP(tblLehrgangsinhalte[[#This Row],[Abschn.-Nr.]],tblAbschnitte[],2,FALSE),"")</f>
        <v/>
      </c>
      <c r="D53" s="91"/>
      <c r="E53" s="94"/>
      <c r="F53" s="151"/>
      <c r="G53" s="101"/>
      <c r="H53" s="98"/>
      <c r="I53" s="21" t="str">
        <f>IF(tblLehrgangsinhalte[[#This Row],[UE-Nr.]]&lt;&gt;"",COUNTIF(tblStundenplan[[Spalte2]:[Spalte365]],tblLehrgangsinhalte[[#This Row],[UE-Nr.]]&amp;"*"),"")</f>
        <v/>
      </c>
      <c r="J53" s="21" t="str">
        <f>IF(tblLehrgangsinhalte[[#This Row],[UE-Nr.]]&lt;&gt;"",tblLehrgangsinhalte[[#This Row],[Std.-Ansatz]]-tblLehrgangsinhalte[[#This Row],[Std. Verplant]],"")</f>
        <v/>
      </c>
      <c r="K53" s="107"/>
      <c r="L53" s="107"/>
    </row>
    <row r="54" spans="1:12" ht="15" customHeight="1" x14ac:dyDescent="0.25">
      <c r="A54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4" s="152"/>
      <c r="C54" s="6" t="str">
        <f>IF(tblLehrgangsinhalte[[#This Row],[Abschn.-Nr.]]&lt;&gt;"",VLOOKUP(tblLehrgangsinhalte[[#This Row],[Abschn.-Nr.]],tblAbschnitte[],2,FALSE),"")</f>
        <v/>
      </c>
      <c r="D54" s="91"/>
      <c r="E54" s="94"/>
      <c r="F54" s="151"/>
      <c r="G54" s="101"/>
      <c r="H54" s="98"/>
      <c r="I54" s="21" t="str">
        <f>IF(tblLehrgangsinhalte[[#This Row],[UE-Nr.]]&lt;&gt;"",COUNTIF(tblStundenplan[[Spalte2]:[Spalte365]],tblLehrgangsinhalte[[#This Row],[UE-Nr.]]&amp;"*"),"")</f>
        <v/>
      </c>
      <c r="J54" s="21" t="str">
        <f>IF(tblLehrgangsinhalte[[#This Row],[UE-Nr.]]&lt;&gt;"",tblLehrgangsinhalte[[#This Row],[Std.-Ansatz]]-tblLehrgangsinhalte[[#This Row],[Std. Verplant]],"")</f>
        <v/>
      </c>
      <c r="K54" s="107"/>
      <c r="L54" s="107"/>
    </row>
    <row r="55" spans="1:12" x14ac:dyDescent="0.25">
      <c r="A55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5" s="152"/>
      <c r="C55" s="6" t="str">
        <f>IF(tblLehrgangsinhalte[[#This Row],[Abschn.-Nr.]]&lt;&gt;"",VLOOKUP(tblLehrgangsinhalte[[#This Row],[Abschn.-Nr.]],tblAbschnitte[],2,FALSE),"")</f>
        <v/>
      </c>
      <c r="D55" s="91"/>
      <c r="E55" s="94"/>
      <c r="F55" s="151"/>
      <c r="G55" s="101"/>
      <c r="H55" s="98"/>
      <c r="I55" s="21" t="str">
        <f>IF(tblLehrgangsinhalte[[#This Row],[UE-Nr.]]&lt;&gt;"",COUNTIF(tblStundenplan[[Spalte2]:[Spalte365]],tblLehrgangsinhalte[[#This Row],[UE-Nr.]]&amp;"*"),"")</f>
        <v/>
      </c>
      <c r="J55" s="21" t="str">
        <f>IF(tblLehrgangsinhalte[[#This Row],[UE-Nr.]]&lt;&gt;"",tblLehrgangsinhalte[[#This Row],[Std.-Ansatz]]-tblLehrgangsinhalte[[#This Row],[Std. Verplant]],"")</f>
        <v/>
      </c>
      <c r="K55" s="107"/>
      <c r="L55" s="107"/>
    </row>
    <row r="56" spans="1:12" x14ac:dyDescent="0.25">
      <c r="A56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6" s="153"/>
      <c r="C56" s="6" t="str">
        <f>IF(tblLehrgangsinhalte[[#This Row],[Abschn.-Nr.]]&lt;&gt;"",VLOOKUP(tblLehrgangsinhalte[[#This Row],[Abschn.-Nr.]],tblAbschnitte[],2,FALSE),"")</f>
        <v/>
      </c>
      <c r="D56" s="91"/>
      <c r="E56" s="94"/>
      <c r="F56" s="151"/>
      <c r="G56" s="101"/>
      <c r="H56" s="98"/>
      <c r="I56" s="21" t="str">
        <f>IF(tblLehrgangsinhalte[[#This Row],[UE-Nr.]]&lt;&gt;"",COUNTIF(tblStundenplan[[Spalte2]:[Spalte365]],tblLehrgangsinhalte[[#This Row],[UE-Nr.]]&amp;"*"),"")</f>
        <v/>
      </c>
      <c r="J56" s="21" t="str">
        <f>IF(tblLehrgangsinhalte[[#This Row],[UE-Nr.]]&lt;&gt;"",tblLehrgangsinhalte[[#This Row],[Std.-Ansatz]]-tblLehrgangsinhalte[[#This Row],[Std. Verplant]],"")</f>
        <v/>
      </c>
      <c r="K56" s="107"/>
      <c r="L56" s="107"/>
    </row>
    <row r="57" spans="1:12" x14ac:dyDescent="0.25">
      <c r="A57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7" s="153"/>
      <c r="C57" s="6" t="str">
        <f>IF(tblLehrgangsinhalte[[#This Row],[Abschn.-Nr.]]&lt;&gt;"",VLOOKUP(tblLehrgangsinhalte[[#This Row],[Abschn.-Nr.]],tblAbschnitte[],2,FALSE),"")</f>
        <v/>
      </c>
      <c r="D57" s="91"/>
      <c r="E57" s="94"/>
      <c r="F57" s="151"/>
      <c r="G57" s="101"/>
      <c r="H57" s="98"/>
      <c r="I57" s="21" t="str">
        <f>IF(tblLehrgangsinhalte[[#This Row],[UE-Nr.]]&lt;&gt;"",COUNTIF(tblStundenplan[[Spalte2]:[Spalte365]],tblLehrgangsinhalte[[#This Row],[UE-Nr.]]&amp;"*"),"")</f>
        <v/>
      </c>
      <c r="J57" s="21" t="str">
        <f>IF(tblLehrgangsinhalte[[#This Row],[UE-Nr.]]&lt;&gt;"",tblLehrgangsinhalte[[#This Row],[Std.-Ansatz]]-tblLehrgangsinhalte[[#This Row],[Std. Verplant]],"")</f>
        <v/>
      </c>
      <c r="K57" s="107"/>
      <c r="L57" s="107"/>
    </row>
    <row r="58" spans="1:12" x14ac:dyDescent="0.25">
      <c r="A58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8" s="153"/>
      <c r="C58" s="6" t="str">
        <f>IF(tblLehrgangsinhalte[[#This Row],[Abschn.-Nr.]]&lt;&gt;"",VLOOKUP(tblLehrgangsinhalte[[#This Row],[Abschn.-Nr.]],tblAbschnitte[],2,FALSE),"")</f>
        <v/>
      </c>
      <c r="D58" s="91"/>
      <c r="E58" s="94"/>
      <c r="F58" s="151"/>
      <c r="G58" s="101"/>
      <c r="H58" s="98"/>
      <c r="I58" s="21" t="str">
        <f>IF(tblLehrgangsinhalte[[#This Row],[UE-Nr.]]&lt;&gt;"",COUNTIF(tblStundenplan[[Spalte2]:[Spalte365]],tblLehrgangsinhalte[[#This Row],[UE-Nr.]]&amp;"*"),"")</f>
        <v/>
      </c>
      <c r="J58" s="21" t="str">
        <f>IF(tblLehrgangsinhalte[[#This Row],[UE-Nr.]]&lt;&gt;"",tblLehrgangsinhalte[[#This Row],[Std.-Ansatz]]-tblLehrgangsinhalte[[#This Row],[Std. Verplant]],"")</f>
        <v/>
      </c>
      <c r="K58" s="107"/>
      <c r="L58" s="107"/>
    </row>
    <row r="59" spans="1:12" x14ac:dyDescent="0.25">
      <c r="A59" s="9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59" s="153"/>
      <c r="C59" s="6" t="str">
        <f>IF(tblLehrgangsinhalte[[#This Row],[Abschn.-Nr.]]&lt;&gt;"",VLOOKUP(tblLehrgangsinhalte[[#This Row],[Abschn.-Nr.]],tblAbschnitte[],2,FALSE),"")</f>
        <v/>
      </c>
      <c r="D59" s="91"/>
      <c r="E59" s="94"/>
      <c r="F59" s="151"/>
      <c r="G59" s="101"/>
      <c r="H59" s="98"/>
      <c r="I59" s="21" t="str">
        <f>IF(tblLehrgangsinhalte[[#This Row],[UE-Nr.]]&lt;&gt;"",COUNTIF(tblStundenplan[[Spalte2]:[Spalte365]],tblLehrgangsinhalte[[#This Row],[UE-Nr.]]&amp;"*"),"")</f>
        <v/>
      </c>
      <c r="J59" s="21" t="str">
        <f>IF(tblLehrgangsinhalte[[#This Row],[UE-Nr.]]&lt;&gt;"",tblLehrgangsinhalte[[#This Row],[Std.-Ansatz]]-tblLehrgangsinhalte[[#This Row],[Std. Verplant]],"")</f>
        <v/>
      </c>
      <c r="K59" s="107"/>
      <c r="L59" s="107"/>
    </row>
    <row r="60" spans="1:12" x14ac:dyDescent="0.25">
      <c r="A60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0" s="153"/>
      <c r="C60" s="6" t="str">
        <f>IF(tblLehrgangsinhalte[[#This Row],[Abschn.-Nr.]]&lt;&gt;"",VLOOKUP(tblLehrgangsinhalte[[#This Row],[Abschn.-Nr.]],tblAbschnitte[],2,FALSE),"")</f>
        <v/>
      </c>
      <c r="D60" s="91"/>
      <c r="E60" s="94"/>
      <c r="F60" s="102"/>
      <c r="G60" s="101"/>
      <c r="H60" s="98"/>
      <c r="I60" s="21" t="str">
        <f>IF(tblLehrgangsinhalte[[#This Row],[UE-Nr.]]&lt;&gt;"",COUNTIF(tblStundenplan[[Spalte2]:[Spalte365]],tblLehrgangsinhalte[[#This Row],[UE-Nr.]]&amp;"*"),"")</f>
        <v/>
      </c>
      <c r="J60" s="21" t="str">
        <f>IF(tblLehrgangsinhalte[[#This Row],[UE-Nr.]]&lt;&gt;"",tblLehrgangsinhalte[[#This Row],[Std.-Ansatz]]-tblLehrgangsinhalte[[#This Row],[Std. Verplant]],"")</f>
        <v/>
      </c>
      <c r="K60" s="107"/>
      <c r="L60" s="107"/>
    </row>
    <row r="61" spans="1:12" x14ac:dyDescent="0.25">
      <c r="A61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1" s="153"/>
      <c r="C61" s="6" t="str">
        <f>IF(tblLehrgangsinhalte[[#This Row],[Abschn.-Nr.]]&lt;&gt;"",VLOOKUP(tblLehrgangsinhalte[[#This Row],[Abschn.-Nr.]],tblAbschnitte[],2,FALSE),"")</f>
        <v/>
      </c>
      <c r="D61" s="91"/>
      <c r="E61" s="94"/>
      <c r="F61" s="102"/>
      <c r="G61" s="101"/>
      <c r="H61" s="98"/>
      <c r="I61" s="21" t="str">
        <f>IF(tblLehrgangsinhalte[[#This Row],[UE-Nr.]]&lt;&gt;"",COUNTIF(tblStundenplan[[Spalte2]:[Spalte365]],tblLehrgangsinhalte[[#This Row],[UE-Nr.]]&amp;"*"),"")</f>
        <v/>
      </c>
      <c r="J61" s="21" t="str">
        <f>IF(tblLehrgangsinhalte[[#This Row],[UE-Nr.]]&lt;&gt;"",tblLehrgangsinhalte[[#This Row],[Std.-Ansatz]]-tblLehrgangsinhalte[[#This Row],[Std. Verplant]],"")</f>
        <v/>
      </c>
      <c r="K61" s="107"/>
      <c r="L61" s="107"/>
    </row>
    <row r="62" spans="1:12" x14ac:dyDescent="0.25">
      <c r="A62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2" s="153"/>
      <c r="C62" s="6" t="str">
        <f>IF(tblLehrgangsinhalte[[#This Row],[Abschn.-Nr.]]&lt;&gt;"",VLOOKUP(tblLehrgangsinhalte[[#This Row],[Abschn.-Nr.]],tblAbschnitte[],2,FALSE),"")</f>
        <v/>
      </c>
      <c r="D62" s="91"/>
      <c r="E62" s="94"/>
      <c r="F62" s="102"/>
      <c r="G62" s="101"/>
      <c r="H62" s="98"/>
      <c r="I62" s="21" t="str">
        <f>IF(tblLehrgangsinhalte[[#This Row],[UE-Nr.]]&lt;&gt;"",COUNTIF(tblStundenplan[[Spalte2]:[Spalte365]],tblLehrgangsinhalte[[#This Row],[UE-Nr.]]&amp;"*"),"")</f>
        <v/>
      </c>
      <c r="J62" s="21" t="str">
        <f>IF(tblLehrgangsinhalte[[#This Row],[UE-Nr.]]&lt;&gt;"",tblLehrgangsinhalte[[#This Row],[Std.-Ansatz]]-tblLehrgangsinhalte[[#This Row],[Std. Verplant]],"")</f>
        <v/>
      </c>
      <c r="K62" s="107"/>
      <c r="L62" s="107"/>
    </row>
    <row r="63" spans="1:12" x14ac:dyDescent="0.25">
      <c r="A63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3" s="153"/>
      <c r="C63" s="6" t="str">
        <f>IF(tblLehrgangsinhalte[[#This Row],[Abschn.-Nr.]]&lt;&gt;"",VLOOKUP(tblLehrgangsinhalte[[#This Row],[Abschn.-Nr.]],tblAbschnitte[],2,FALSE),"")</f>
        <v/>
      </c>
      <c r="D63" s="91"/>
      <c r="E63" s="94"/>
      <c r="F63" s="102"/>
      <c r="G63" s="101"/>
      <c r="H63" s="98"/>
      <c r="I63" s="21" t="str">
        <f>IF(tblLehrgangsinhalte[[#This Row],[UE-Nr.]]&lt;&gt;"",COUNTIF(tblStundenplan[[Spalte2]:[Spalte365]],tblLehrgangsinhalte[[#This Row],[UE-Nr.]]&amp;"*"),"")</f>
        <v/>
      </c>
      <c r="J63" s="21" t="str">
        <f>IF(tblLehrgangsinhalte[[#This Row],[UE-Nr.]]&lt;&gt;"",tblLehrgangsinhalte[[#This Row],[Std.-Ansatz]]-tblLehrgangsinhalte[[#This Row],[Std. Verplant]],"")</f>
        <v/>
      </c>
      <c r="K63" s="107"/>
      <c r="L63" s="107"/>
    </row>
    <row r="64" spans="1:12" x14ac:dyDescent="0.25">
      <c r="A64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4" s="153"/>
      <c r="C64" s="6" t="str">
        <f>IF(tblLehrgangsinhalte[[#This Row],[Abschn.-Nr.]]&lt;&gt;"",VLOOKUP(tblLehrgangsinhalte[[#This Row],[Abschn.-Nr.]],tblAbschnitte[],2,FALSE),"")</f>
        <v/>
      </c>
      <c r="D64" s="91"/>
      <c r="E64" s="94"/>
      <c r="F64" s="102"/>
      <c r="G64" s="101"/>
      <c r="H64" s="98"/>
      <c r="I64" s="21" t="str">
        <f>IF(tblLehrgangsinhalte[[#This Row],[UE-Nr.]]&lt;&gt;"",COUNTIF(tblStundenplan[[Spalte2]:[Spalte365]],tblLehrgangsinhalte[[#This Row],[UE-Nr.]]&amp;"*"),"")</f>
        <v/>
      </c>
      <c r="J64" s="21" t="str">
        <f>IF(tblLehrgangsinhalte[[#This Row],[UE-Nr.]]&lt;&gt;"",tblLehrgangsinhalte[[#This Row],[Std.-Ansatz]]-tblLehrgangsinhalte[[#This Row],[Std. Verplant]],"")</f>
        <v/>
      </c>
      <c r="K64" s="107"/>
      <c r="L64" s="107"/>
    </row>
    <row r="65" spans="1:12" x14ac:dyDescent="0.25">
      <c r="A65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5" s="153"/>
      <c r="C65" s="6" t="str">
        <f>IF(tblLehrgangsinhalte[[#This Row],[Abschn.-Nr.]]&lt;&gt;"",VLOOKUP(tblLehrgangsinhalte[[#This Row],[Abschn.-Nr.]],tblAbschnitte[],2,FALSE),"")</f>
        <v/>
      </c>
      <c r="D65" s="91"/>
      <c r="E65" s="94"/>
      <c r="F65" s="102"/>
      <c r="G65" s="101"/>
      <c r="H65" s="98"/>
      <c r="I65" s="21" t="str">
        <f>IF(tblLehrgangsinhalte[[#This Row],[UE-Nr.]]&lt;&gt;"",COUNTIF(tblStundenplan[[Spalte2]:[Spalte365]],tblLehrgangsinhalte[[#This Row],[UE-Nr.]]&amp;"*"),"")</f>
        <v/>
      </c>
      <c r="J65" s="21" t="str">
        <f>IF(tblLehrgangsinhalte[[#This Row],[UE-Nr.]]&lt;&gt;"",tblLehrgangsinhalte[[#This Row],[Std.-Ansatz]]-tblLehrgangsinhalte[[#This Row],[Std. Verplant]],"")</f>
        <v/>
      </c>
      <c r="K65" s="107"/>
      <c r="L65" s="107"/>
    </row>
    <row r="66" spans="1:12" x14ac:dyDescent="0.25">
      <c r="A66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6" s="153"/>
      <c r="C66" s="6" t="str">
        <f>IF(tblLehrgangsinhalte[[#This Row],[Abschn.-Nr.]]&lt;&gt;"",VLOOKUP(tblLehrgangsinhalte[[#This Row],[Abschn.-Nr.]],tblAbschnitte[],2,FALSE),"")</f>
        <v/>
      </c>
      <c r="D66" s="91"/>
      <c r="E66" s="94"/>
      <c r="F66" s="102"/>
      <c r="G66" s="101"/>
      <c r="H66" s="98"/>
      <c r="I66" s="21" t="str">
        <f>IF(tblLehrgangsinhalte[[#This Row],[UE-Nr.]]&lt;&gt;"",COUNTIF(tblStundenplan[[Spalte2]:[Spalte365]],tblLehrgangsinhalte[[#This Row],[UE-Nr.]]&amp;"*"),"")</f>
        <v/>
      </c>
      <c r="J66" s="21" t="str">
        <f>IF(tblLehrgangsinhalte[[#This Row],[UE-Nr.]]&lt;&gt;"",tblLehrgangsinhalte[[#This Row],[Std.-Ansatz]]-tblLehrgangsinhalte[[#This Row],[Std. Verplant]],"")</f>
        <v/>
      </c>
      <c r="K66" s="107"/>
      <c r="L66" s="107"/>
    </row>
    <row r="67" spans="1:12" x14ac:dyDescent="0.25">
      <c r="A67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7" s="153"/>
      <c r="C67" s="6" t="str">
        <f>IF(tblLehrgangsinhalte[[#This Row],[Abschn.-Nr.]]&lt;&gt;"",VLOOKUP(tblLehrgangsinhalte[[#This Row],[Abschn.-Nr.]],tblAbschnitte[],2,FALSE),"")</f>
        <v/>
      </c>
      <c r="D67" s="91"/>
      <c r="E67" s="94"/>
      <c r="F67" s="102"/>
      <c r="G67" s="101"/>
      <c r="H67" s="98"/>
      <c r="I67" s="21" t="str">
        <f>IF(tblLehrgangsinhalte[[#This Row],[UE-Nr.]]&lt;&gt;"",COUNTIF(tblStundenplan[[Spalte2]:[Spalte365]],tblLehrgangsinhalte[[#This Row],[UE-Nr.]]&amp;"*"),"")</f>
        <v/>
      </c>
      <c r="J67" s="21" t="str">
        <f>IF(tblLehrgangsinhalte[[#This Row],[UE-Nr.]]&lt;&gt;"",tblLehrgangsinhalte[[#This Row],[Std.-Ansatz]]-tblLehrgangsinhalte[[#This Row],[Std. Verplant]],"")</f>
        <v/>
      </c>
      <c r="K67" s="107"/>
      <c r="L67" s="107"/>
    </row>
    <row r="68" spans="1:12" x14ac:dyDescent="0.25">
      <c r="A68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8" s="153"/>
      <c r="C68" s="6" t="str">
        <f>IF(tblLehrgangsinhalte[[#This Row],[Abschn.-Nr.]]&lt;&gt;"",VLOOKUP(tblLehrgangsinhalte[[#This Row],[Abschn.-Nr.]],tblAbschnitte[],2,FALSE),"")</f>
        <v/>
      </c>
      <c r="D68" s="91"/>
      <c r="E68" s="94"/>
      <c r="F68" s="102"/>
      <c r="G68" s="101"/>
      <c r="H68" s="98"/>
      <c r="I68" s="21" t="str">
        <f>IF(tblLehrgangsinhalte[[#This Row],[UE-Nr.]]&lt;&gt;"",COUNTIF(tblStundenplan[[Spalte2]:[Spalte365]],tblLehrgangsinhalte[[#This Row],[UE-Nr.]]&amp;"*"),"")</f>
        <v/>
      </c>
      <c r="J68" s="21" t="str">
        <f>IF(tblLehrgangsinhalte[[#This Row],[UE-Nr.]]&lt;&gt;"",tblLehrgangsinhalte[[#This Row],[Std.-Ansatz]]-tblLehrgangsinhalte[[#This Row],[Std. Verplant]],"")</f>
        <v/>
      </c>
      <c r="K68" s="107"/>
      <c r="L68" s="107"/>
    </row>
    <row r="69" spans="1:12" x14ac:dyDescent="0.25">
      <c r="A69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69" s="153"/>
      <c r="C69" s="6" t="str">
        <f>IF(tblLehrgangsinhalte[[#This Row],[Abschn.-Nr.]]&lt;&gt;"",VLOOKUP(tblLehrgangsinhalte[[#This Row],[Abschn.-Nr.]],tblAbschnitte[],2,FALSE),"")</f>
        <v/>
      </c>
      <c r="D69" s="91"/>
      <c r="E69" s="94"/>
      <c r="F69" s="102"/>
      <c r="G69" s="101"/>
      <c r="H69" s="98"/>
      <c r="I69" s="21" t="str">
        <f>IF(tblLehrgangsinhalte[[#This Row],[UE-Nr.]]&lt;&gt;"",COUNTIF(tblStundenplan[[Spalte2]:[Spalte365]],tblLehrgangsinhalte[[#This Row],[UE-Nr.]]&amp;"*"),"")</f>
        <v/>
      </c>
      <c r="J69" s="21" t="str">
        <f>IF(tblLehrgangsinhalte[[#This Row],[UE-Nr.]]&lt;&gt;"",tblLehrgangsinhalte[[#This Row],[Std.-Ansatz]]-tblLehrgangsinhalte[[#This Row],[Std. Verplant]],"")</f>
        <v/>
      </c>
      <c r="K69" s="107"/>
      <c r="L69" s="107"/>
    </row>
    <row r="70" spans="1:12" x14ac:dyDescent="0.25">
      <c r="A70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0" s="153"/>
      <c r="C70" s="6" t="str">
        <f>IF(tblLehrgangsinhalte[[#This Row],[Abschn.-Nr.]]&lt;&gt;"",VLOOKUP(tblLehrgangsinhalte[[#This Row],[Abschn.-Nr.]],tblAbschnitte[],2,FALSE),"")</f>
        <v/>
      </c>
      <c r="D70" s="91"/>
      <c r="E70" s="94"/>
      <c r="F70" s="102"/>
      <c r="G70" s="101"/>
      <c r="H70" s="98"/>
      <c r="I70" s="21" t="str">
        <f>IF(tblLehrgangsinhalte[[#This Row],[UE-Nr.]]&lt;&gt;"",COUNTIF(tblStundenplan[[Spalte2]:[Spalte365]],tblLehrgangsinhalte[[#This Row],[UE-Nr.]]&amp;"*"),"")</f>
        <v/>
      </c>
      <c r="J70" s="21" t="str">
        <f>IF(tblLehrgangsinhalte[[#This Row],[UE-Nr.]]&lt;&gt;"",tblLehrgangsinhalte[[#This Row],[Std.-Ansatz]]-tblLehrgangsinhalte[[#This Row],[Std. Verplant]],"")</f>
        <v/>
      </c>
      <c r="K70" s="107"/>
      <c r="L70" s="107"/>
    </row>
    <row r="71" spans="1:12" x14ac:dyDescent="0.25">
      <c r="A71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1" s="153"/>
      <c r="C71" s="6" t="str">
        <f>IF(tblLehrgangsinhalte[[#This Row],[Abschn.-Nr.]]&lt;&gt;"",VLOOKUP(tblLehrgangsinhalte[[#This Row],[Abschn.-Nr.]],tblAbschnitte[],2,FALSE),"")</f>
        <v/>
      </c>
      <c r="D71" s="91"/>
      <c r="E71" s="94"/>
      <c r="F71" s="102"/>
      <c r="G71" s="101"/>
      <c r="H71" s="98"/>
      <c r="I71" s="21" t="str">
        <f>IF(tblLehrgangsinhalte[[#This Row],[UE-Nr.]]&lt;&gt;"",COUNTIF(tblStundenplan[[Spalte2]:[Spalte365]],tblLehrgangsinhalte[[#This Row],[UE-Nr.]]&amp;"*"),"")</f>
        <v/>
      </c>
      <c r="J71" s="21" t="str">
        <f>IF(tblLehrgangsinhalte[[#This Row],[UE-Nr.]]&lt;&gt;"",tblLehrgangsinhalte[[#This Row],[Std.-Ansatz]]-tblLehrgangsinhalte[[#This Row],[Std. Verplant]],"")</f>
        <v/>
      </c>
      <c r="K71" s="107"/>
      <c r="L71" s="107"/>
    </row>
    <row r="72" spans="1:12" x14ac:dyDescent="0.25">
      <c r="A72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2" s="153"/>
      <c r="C72" s="6" t="str">
        <f>IF(tblLehrgangsinhalte[[#This Row],[Abschn.-Nr.]]&lt;&gt;"",VLOOKUP(tblLehrgangsinhalte[[#This Row],[Abschn.-Nr.]],tblAbschnitte[],2,FALSE),"")</f>
        <v/>
      </c>
      <c r="D72" s="91"/>
      <c r="E72" s="94"/>
      <c r="F72" s="102"/>
      <c r="G72" s="101"/>
      <c r="H72" s="98"/>
      <c r="I72" s="21" t="str">
        <f>IF(tblLehrgangsinhalte[[#This Row],[UE-Nr.]]&lt;&gt;"",COUNTIF(tblStundenplan[[Spalte2]:[Spalte365]],tblLehrgangsinhalte[[#This Row],[UE-Nr.]]&amp;"*"),"")</f>
        <v/>
      </c>
      <c r="J72" s="21" t="str">
        <f>IF(tblLehrgangsinhalte[[#This Row],[UE-Nr.]]&lt;&gt;"",tblLehrgangsinhalte[[#This Row],[Std.-Ansatz]]-tblLehrgangsinhalte[[#This Row],[Std. Verplant]],"")</f>
        <v/>
      </c>
      <c r="K72" s="107"/>
      <c r="L72" s="107"/>
    </row>
    <row r="73" spans="1:12" x14ac:dyDescent="0.25">
      <c r="A73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3" s="153"/>
      <c r="C73" s="6" t="str">
        <f>IF(tblLehrgangsinhalte[[#This Row],[Abschn.-Nr.]]&lt;&gt;"",VLOOKUP(tblLehrgangsinhalte[[#This Row],[Abschn.-Nr.]],tblAbschnitte[],2,FALSE),"")</f>
        <v/>
      </c>
      <c r="D73" s="91"/>
      <c r="E73" s="94"/>
      <c r="F73" s="102"/>
      <c r="G73" s="101"/>
      <c r="H73" s="98"/>
      <c r="I73" s="21" t="str">
        <f>IF(tblLehrgangsinhalte[[#This Row],[UE-Nr.]]&lt;&gt;"",COUNTIF(tblStundenplan[[Spalte2]:[Spalte365]],tblLehrgangsinhalte[[#This Row],[UE-Nr.]]&amp;"*"),"")</f>
        <v/>
      </c>
      <c r="J73" s="21" t="str">
        <f>IF(tblLehrgangsinhalte[[#This Row],[UE-Nr.]]&lt;&gt;"",tblLehrgangsinhalte[[#This Row],[Std.-Ansatz]]-tblLehrgangsinhalte[[#This Row],[Std. Verplant]],"")</f>
        <v/>
      </c>
      <c r="K73" s="107"/>
      <c r="L73" s="107"/>
    </row>
    <row r="74" spans="1:12" x14ac:dyDescent="0.25">
      <c r="A74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4" s="153"/>
      <c r="C74" s="6" t="str">
        <f>IF(tblLehrgangsinhalte[[#This Row],[Abschn.-Nr.]]&lt;&gt;"",VLOOKUP(tblLehrgangsinhalte[[#This Row],[Abschn.-Nr.]],tblAbschnitte[],2,FALSE),"")</f>
        <v/>
      </c>
      <c r="D74" s="91"/>
      <c r="E74" s="94"/>
      <c r="F74" s="102"/>
      <c r="G74" s="101"/>
      <c r="H74" s="98"/>
      <c r="I74" s="21" t="str">
        <f>IF(tblLehrgangsinhalte[[#This Row],[UE-Nr.]]&lt;&gt;"",COUNTIF(tblStundenplan[[Spalte2]:[Spalte365]],tblLehrgangsinhalte[[#This Row],[UE-Nr.]]&amp;"*"),"")</f>
        <v/>
      </c>
      <c r="J74" s="21" t="str">
        <f>IF(tblLehrgangsinhalte[[#This Row],[UE-Nr.]]&lt;&gt;"",tblLehrgangsinhalte[[#This Row],[Std.-Ansatz]]-tblLehrgangsinhalte[[#This Row],[Std. Verplant]],"")</f>
        <v/>
      </c>
      <c r="K74" s="107"/>
      <c r="L74" s="107"/>
    </row>
    <row r="75" spans="1:12" x14ac:dyDescent="0.25">
      <c r="A75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5" s="153"/>
      <c r="C75" s="6" t="str">
        <f>IF(tblLehrgangsinhalte[[#This Row],[Abschn.-Nr.]]&lt;&gt;"",VLOOKUP(tblLehrgangsinhalte[[#This Row],[Abschn.-Nr.]],tblAbschnitte[],2,FALSE),"")</f>
        <v/>
      </c>
      <c r="D75" s="91"/>
      <c r="E75" s="94"/>
      <c r="F75" s="102"/>
      <c r="G75" s="101"/>
      <c r="H75" s="98"/>
      <c r="I75" s="21" t="str">
        <f>IF(tblLehrgangsinhalte[[#This Row],[UE-Nr.]]&lt;&gt;"",COUNTIF(tblStundenplan[[Spalte2]:[Spalte365]],tblLehrgangsinhalte[[#This Row],[UE-Nr.]]&amp;"*"),"")</f>
        <v/>
      </c>
      <c r="J75" s="21" t="str">
        <f>IF(tblLehrgangsinhalte[[#This Row],[UE-Nr.]]&lt;&gt;"",tblLehrgangsinhalte[[#This Row],[Std.-Ansatz]]-tblLehrgangsinhalte[[#This Row],[Std. Verplant]],"")</f>
        <v/>
      </c>
      <c r="K75" s="107"/>
      <c r="L75" s="107"/>
    </row>
    <row r="76" spans="1:12" x14ac:dyDescent="0.25">
      <c r="A76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6" s="153"/>
      <c r="C76" s="6" t="str">
        <f>IF(tblLehrgangsinhalte[[#This Row],[Abschn.-Nr.]]&lt;&gt;"",VLOOKUP(tblLehrgangsinhalte[[#This Row],[Abschn.-Nr.]],tblAbschnitte[],2,FALSE),"")</f>
        <v/>
      </c>
      <c r="D76" s="91"/>
      <c r="E76" s="94"/>
      <c r="F76" s="102"/>
      <c r="G76" s="101"/>
      <c r="H76" s="98"/>
      <c r="I76" s="21" t="str">
        <f>IF(tblLehrgangsinhalte[[#This Row],[UE-Nr.]]&lt;&gt;"",COUNTIF(tblStundenplan[[Spalte2]:[Spalte365]],tblLehrgangsinhalte[[#This Row],[UE-Nr.]]&amp;"*"),"")</f>
        <v/>
      </c>
      <c r="J76" s="21" t="str">
        <f>IF(tblLehrgangsinhalte[[#This Row],[UE-Nr.]]&lt;&gt;"",tblLehrgangsinhalte[[#This Row],[Std.-Ansatz]]-tblLehrgangsinhalte[[#This Row],[Std. Verplant]],"")</f>
        <v/>
      </c>
      <c r="K76" s="107"/>
      <c r="L76" s="107"/>
    </row>
    <row r="77" spans="1:12" x14ac:dyDescent="0.25">
      <c r="A77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7" s="153"/>
      <c r="C77" s="6" t="str">
        <f>IF(tblLehrgangsinhalte[[#This Row],[Abschn.-Nr.]]&lt;&gt;"",VLOOKUP(tblLehrgangsinhalte[[#This Row],[Abschn.-Nr.]],tblAbschnitte[],2,FALSE),"")</f>
        <v/>
      </c>
      <c r="D77" s="91"/>
      <c r="E77" s="94"/>
      <c r="F77" s="102"/>
      <c r="G77" s="101"/>
      <c r="H77" s="98"/>
      <c r="I77" s="21" t="str">
        <f>IF(tblLehrgangsinhalte[[#This Row],[UE-Nr.]]&lt;&gt;"",COUNTIF(tblStundenplan[[Spalte2]:[Spalte365]],tblLehrgangsinhalte[[#This Row],[UE-Nr.]]&amp;"*"),"")</f>
        <v/>
      </c>
      <c r="J77" s="21" t="str">
        <f>IF(tblLehrgangsinhalte[[#This Row],[UE-Nr.]]&lt;&gt;"",tblLehrgangsinhalte[[#This Row],[Std.-Ansatz]]-tblLehrgangsinhalte[[#This Row],[Std. Verplant]],"")</f>
        <v/>
      </c>
      <c r="K77" s="107"/>
      <c r="L77" s="107"/>
    </row>
    <row r="78" spans="1:12" x14ac:dyDescent="0.25">
      <c r="A78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8" s="153"/>
      <c r="C78" s="6" t="str">
        <f>IF(tblLehrgangsinhalte[[#This Row],[Abschn.-Nr.]]&lt;&gt;"",VLOOKUP(tblLehrgangsinhalte[[#This Row],[Abschn.-Nr.]],tblAbschnitte[],2,FALSE),"")</f>
        <v/>
      </c>
      <c r="D78" s="91"/>
      <c r="E78" s="94"/>
      <c r="F78" s="102"/>
      <c r="G78" s="101"/>
      <c r="H78" s="98"/>
      <c r="I78" s="21" t="str">
        <f>IF(tblLehrgangsinhalte[[#This Row],[UE-Nr.]]&lt;&gt;"",COUNTIF(tblStundenplan[[Spalte2]:[Spalte365]],tblLehrgangsinhalte[[#This Row],[UE-Nr.]]&amp;"*"),"")</f>
        <v/>
      </c>
      <c r="J78" s="21" t="str">
        <f>IF(tblLehrgangsinhalte[[#This Row],[UE-Nr.]]&lt;&gt;"",tblLehrgangsinhalte[[#This Row],[Std.-Ansatz]]-tblLehrgangsinhalte[[#This Row],[Std. Verplant]],"")</f>
        <v/>
      </c>
      <c r="K78" s="107"/>
      <c r="L78" s="107"/>
    </row>
    <row r="79" spans="1:12" x14ac:dyDescent="0.25">
      <c r="A79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79" s="153"/>
      <c r="C79" s="6" t="str">
        <f>IF(tblLehrgangsinhalte[[#This Row],[Abschn.-Nr.]]&lt;&gt;"",VLOOKUP(tblLehrgangsinhalte[[#This Row],[Abschn.-Nr.]],tblAbschnitte[],2,FALSE),"")</f>
        <v/>
      </c>
      <c r="D79" s="91"/>
      <c r="E79" s="94"/>
      <c r="F79" s="102"/>
      <c r="G79" s="101"/>
      <c r="H79" s="98"/>
      <c r="I79" s="21" t="str">
        <f>IF(tblLehrgangsinhalte[[#This Row],[UE-Nr.]]&lt;&gt;"",COUNTIF(tblStundenplan[[Spalte2]:[Spalte365]],tblLehrgangsinhalte[[#This Row],[UE-Nr.]]&amp;"*"),"")</f>
        <v/>
      </c>
      <c r="J79" s="21" t="str">
        <f>IF(tblLehrgangsinhalte[[#This Row],[UE-Nr.]]&lt;&gt;"",tblLehrgangsinhalte[[#This Row],[Std.-Ansatz]]-tblLehrgangsinhalte[[#This Row],[Std. Verplant]],"")</f>
        <v/>
      </c>
      <c r="K79" s="107"/>
      <c r="L79" s="107"/>
    </row>
    <row r="80" spans="1:12" x14ac:dyDescent="0.25">
      <c r="A80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0" s="153"/>
      <c r="C80" s="6" t="str">
        <f>IF(tblLehrgangsinhalte[[#This Row],[Abschn.-Nr.]]&lt;&gt;"",VLOOKUP(tblLehrgangsinhalte[[#This Row],[Abschn.-Nr.]],tblAbschnitte[],2,FALSE),"")</f>
        <v/>
      </c>
      <c r="D80" s="91"/>
      <c r="E80" s="94"/>
      <c r="F80" s="102"/>
      <c r="G80" s="101"/>
      <c r="H80" s="98"/>
      <c r="I80" s="21" t="str">
        <f>IF(tblLehrgangsinhalte[[#This Row],[UE-Nr.]]&lt;&gt;"",COUNTIF(tblStundenplan[[Spalte2]:[Spalte365]],tblLehrgangsinhalte[[#This Row],[UE-Nr.]]&amp;"*"),"")</f>
        <v/>
      </c>
      <c r="J80" s="21" t="str">
        <f>IF(tblLehrgangsinhalte[[#This Row],[UE-Nr.]]&lt;&gt;"",tblLehrgangsinhalte[[#This Row],[Std.-Ansatz]]-tblLehrgangsinhalte[[#This Row],[Std. Verplant]],"")</f>
        <v/>
      </c>
      <c r="K80" s="107"/>
      <c r="L80" s="107"/>
    </row>
    <row r="81" spans="1:12" x14ac:dyDescent="0.25">
      <c r="A81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1" s="153"/>
      <c r="C81" s="6" t="str">
        <f>IF(tblLehrgangsinhalte[[#This Row],[Abschn.-Nr.]]&lt;&gt;"",VLOOKUP(tblLehrgangsinhalte[[#This Row],[Abschn.-Nr.]],tblAbschnitte[],2,FALSE),"")</f>
        <v/>
      </c>
      <c r="D81" s="91"/>
      <c r="E81" s="94"/>
      <c r="F81" s="102"/>
      <c r="G81" s="101"/>
      <c r="H81" s="98"/>
      <c r="I81" s="21" t="str">
        <f>IF(tblLehrgangsinhalte[[#This Row],[UE-Nr.]]&lt;&gt;"",COUNTIF(tblStundenplan[[Spalte2]:[Spalte365]],tblLehrgangsinhalte[[#This Row],[UE-Nr.]]&amp;"*"),"")</f>
        <v/>
      </c>
      <c r="J81" s="21" t="str">
        <f>IF(tblLehrgangsinhalte[[#This Row],[UE-Nr.]]&lt;&gt;"",tblLehrgangsinhalte[[#This Row],[Std.-Ansatz]]-tblLehrgangsinhalte[[#This Row],[Std. Verplant]],"")</f>
        <v/>
      </c>
      <c r="K81" s="107"/>
      <c r="L81" s="107"/>
    </row>
    <row r="82" spans="1:12" x14ac:dyDescent="0.25">
      <c r="A82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2" s="153"/>
      <c r="C82" s="6" t="str">
        <f>IF(tblLehrgangsinhalte[[#This Row],[Abschn.-Nr.]]&lt;&gt;"",VLOOKUP(tblLehrgangsinhalte[[#This Row],[Abschn.-Nr.]],tblAbschnitte[],2,FALSE),"")</f>
        <v/>
      </c>
      <c r="D82" s="91"/>
      <c r="E82" s="94"/>
      <c r="F82" s="102"/>
      <c r="G82" s="101"/>
      <c r="H82" s="98"/>
      <c r="I82" s="21" t="str">
        <f>IF(tblLehrgangsinhalte[[#This Row],[UE-Nr.]]&lt;&gt;"",COUNTIF(tblStundenplan[[Spalte2]:[Spalte365]],tblLehrgangsinhalte[[#This Row],[UE-Nr.]]&amp;"*"),"")</f>
        <v/>
      </c>
      <c r="J82" s="21" t="str">
        <f>IF(tblLehrgangsinhalte[[#This Row],[UE-Nr.]]&lt;&gt;"",tblLehrgangsinhalte[[#This Row],[Std.-Ansatz]]-tblLehrgangsinhalte[[#This Row],[Std. Verplant]],"")</f>
        <v/>
      </c>
      <c r="K82" s="107"/>
      <c r="L82" s="107"/>
    </row>
    <row r="83" spans="1:12" x14ac:dyDescent="0.25">
      <c r="A83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3" s="153"/>
      <c r="C83" s="6" t="str">
        <f>IF(tblLehrgangsinhalte[[#This Row],[Abschn.-Nr.]]&lt;&gt;"",VLOOKUP(tblLehrgangsinhalte[[#This Row],[Abschn.-Nr.]],tblAbschnitte[],2,FALSE),"")</f>
        <v/>
      </c>
      <c r="D83" s="91"/>
      <c r="E83" s="94"/>
      <c r="F83" s="102"/>
      <c r="G83" s="101"/>
      <c r="H83" s="102"/>
      <c r="I83" s="21" t="str">
        <f>IF(tblLehrgangsinhalte[[#This Row],[UE-Nr.]]&lt;&gt;"",COUNTIF(tblStundenplan[[Spalte2]:[Spalte365]],tblLehrgangsinhalte[[#This Row],[UE-Nr.]]&amp;"*"),"")</f>
        <v/>
      </c>
      <c r="J83" s="21" t="str">
        <f>IF(tblLehrgangsinhalte[[#This Row],[UE-Nr.]]&lt;&gt;"",tblLehrgangsinhalte[[#This Row],[Std.-Ansatz]]-tblLehrgangsinhalte[[#This Row],[Std. Verplant]],"")</f>
        <v/>
      </c>
      <c r="K83" s="111"/>
      <c r="L83" s="111"/>
    </row>
    <row r="84" spans="1:12" x14ac:dyDescent="0.25">
      <c r="A84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4" s="153"/>
      <c r="C84" s="6" t="str">
        <f>IF(tblLehrgangsinhalte[[#This Row],[Abschn.-Nr.]]&lt;&gt;"",VLOOKUP(tblLehrgangsinhalte[[#This Row],[Abschn.-Nr.]],tblAbschnitte[],2,FALSE),"")</f>
        <v/>
      </c>
      <c r="D84" s="91"/>
      <c r="E84" s="94"/>
      <c r="F84" s="102"/>
      <c r="G84" s="101"/>
      <c r="H84" s="102"/>
      <c r="I84" s="21" t="str">
        <f>IF(tblLehrgangsinhalte[[#This Row],[UE-Nr.]]&lt;&gt;"",COUNTIF(tblStundenplan[[Spalte2]:[Spalte365]],tblLehrgangsinhalte[[#This Row],[UE-Nr.]]&amp;"*"),"")</f>
        <v/>
      </c>
      <c r="J84" s="21" t="str">
        <f>IF(tblLehrgangsinhalte[[#This Row],[UE-Nr.]]&lt;&gt;"",tblLehrgangsinhalte[[#This Row],[Std.-Ansatz]]-tblLehrgangsinhalte[[#This Row],[Std. Verplant]],"")</f>
        <v/>
      </c>
      <c r="K84" s="111"/>
      <c r="L84" s="111"/>
    </row>
    <row r="85" spans="1:12" x14ac:dyDescent="0.25">
      <c r="A85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5" s="153"/>
      <c r="C85" s="6" t="str">
        <f>IF(tblLehrgangsinhalte[[#This Row],[Abschn.-Nr.]]&lt;&gt;"",VLOOKUP(tblLehrgangsinhalte[[#This Row],[Abschn.-Nr.]],tblAbschnitte[],2,FALSE),"")</f>
        <v/>
      </c>
      <c r="D85" s="91"/>
      <c r="E85" s="94"/>
      <c r="F85" s="102"/>
      <c r="G85" s="101"/>
      <c r="H85" s="102"/>
      <c r="I85" s="21" t="str">
        <f>IF(tblLehrgangsinhalte[[#This Row],[UE-Nr.]]&lt;&gt;"",COUNTIF(tblStundenplan[[Spalte2]:[Spalte365]],tblLehrgangsinhalte[[#This Row],[UE-Nr.]]&amp;"*"),"")</f>
        <v/>
      </c>
      <c r="J85" s="21" t="str">
        <f>IF(tblLehrgangsinhalte[[#This Row],[UE-Nr.]]&lt;&gt;"",tblLehrgangsinhalte[[#This Row],[Std.-Ansatz]]-tblLehrgangsinhalte[[#This Row],[Std. Verplant]],"")</f>
        <v/>
      </c>
      <c r="K85" s="111"/>
      <c r="L85" s="111"/>
    </row>
    <row r="86" spans="1:12" x14ac:dyDescent="0.25">
      <c r="A86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6" s="153"/>
      <c r="C86" s="6" t="str">
        <f>IF(tblLehrgangsinhalte[[#This Row],[Abschn.-Nr.]]&lt;&gt;"",VLOOKUP(tblLehrgangsinhalte[[#This Row],[Abschn.-Nr.]],tblAbschnitte[],2,FALSE),"")</f>
        <v/>
      </c>
      <c r="D86" s="91"/>
      <c r="E86" s="94"/>
      <c r="F86" s="102"/>
      <c r="G86" s="101"/>
      <c r="H86" s="102"/>
      <c r="I86" s="21" t="str">
        <f>IF(tblLehrgangsinhalte[[#This Row],[UE-Nr.]]&lt;&gt;"",COUNTIF(tblStundenplan[[Spalte2]:[Spalte365]],tblLehrgangsinhalte[[#This Row],[UE-Nr.]]&amp;"*"),"")</f>
        <v/>
      </c>
      <c r="J86" s="21" t="str">
        <f>IF(tblLehrgangsinhalte[[#This Row],[UE-Nr.]]&lt;&gt;"",tblLehrgangsinhalte[[#This Row],[Std.-Ansatz]]-tblLehrgangsinhalte[[#This Row],[Std. Verplant]],"")</f>
        <v/>
      </c>
      <c r="K86" s="111"/>
      <c r="L86" s="111"/>
    </row>
    <row r="87" spans="1:12" x14ac:dyDescent="0.25">
      <c r="A87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7" s="153"/>
      <c r="C87" s="6" t="str">
        <f>IF(tblLehrgangsinhalte[[#This Row],[Abschn.-Nr.]]&lt;&gt;"",VLOOKUP(tblLehrgangsinhalte[[#This Row],[Abschn.-Nr.]],tblAbschnitte[],2,FALSE),"")</f>
        <v/>
      </c>
      <c r="D87" s="91"/>
      <c r="E87" s="94"/>
      <c r="F87" s="102"/>
      <c r="G87" s="101"/>
      <c r="H87" s="102"/>
      <c r="I87" s="21" t="str">
        <f>IF(tblLehrgangsinhalte[[#This Row],[UE-Nr.]]&lt;&gt;"",COUNTIF(tblStundenplan[[Spalte2]:[Spalte365]],tblLehrgangsinhalte[[#This Row],[UE-Nr.]]&amp;"*"),"")</f>
        <v/>
      </c>
      <c r="J87" s="21" t="str">
        <f>IF(tblLehrgangsinhalte[[#This Row],[UE-Nr.]]&lt;&gt;"",tblLehrgangsinhalte[[#This Row],[Std.-Ansatz]]-tblLehrgangsinhalte[[#This Row],[Std. Verplant]],"")</f>
        <v/>
      </c>
      <c r="K87" s="111"/>
      <c r="L87" s="111"/>
    </row>
    <row r="88" spans="1:12" x14ac:dyDescent="0.25">
      <c r="A88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8" s="153"/>
      <c r="C88" s="6" t="str">
        <f>IF(tblLehrgangsinhalte[[#This Row],[Abschn.-Nr.]]&lt;&gt;"",VLOOKUP(tblLehrgangsinhalte[[#This Row],[Abschn.-Nr.]],tblAbschnitte[],2,FALSE),"")</f>
        <v/>
      </c>
      <c r="D88" s="91"/>
      <c r="E88" s="94"/>
      <c r="F88" s="102"/>
      <c r="G88" s="101"/>
      <c r="H88" s="102"/>
      <c r="I88" s="21" t="str">
        <f>IF(tblLehrgangsinhalte[[#This Row],[UE-Nr.]]&lt;&gt;"",COUNTIF(tblStundenplan[[Spalte2]:[Spalte365]],tblLehrgangsinhalte[[#This Row],[UE-Nr.]]&amp;"*"),"")</f>
        <v/>
      </c>
      <c r="J88" s="21" t="str">
        <f>IF(tblLehrgangsinhalte[[#This Row],[UE-Nr.]]&lt;&gt;"",tblLehrgangsinhalte[[#This Row],[Std.-Ansatz]]-tblLehrgangsinhalte[[#This Row],[Std. Verplant]],"")</f>
        <v/>
      </c>
      <c r="K88" s="111"/>
      <c r="L88" s="111"/>
    </row>
    <row r="89" spans="1:12" x14ac:dyDescent="0.25">
      <c r="A89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89" s="153"/>
      <c r="C89" s="6" t="str">
        <f>IF(tblLehrgangsinhalte[[#This Row],[Abschn.-Nr.]]&lt;&gt;"",VLOOKUP(tblLehrgangsinhalte[[#This Row],[Abschn.-Nr.]],tblAbschnitte[],2,FALSE),"")</f>
        <v/>
      </c>
      <c r="D89" s="91"/>
      <c r="E89" s="94"/>
      <c r="F89" s="102"/>
      <c r="G89" s="101"/>
      <c r="H89" s="102"/>
      <c r="I89" s="21" t="str">
        <f>IF(tblLehrgangsinhalte[[#This Row],[UE-Nr.]]&lt;&gt;"",COUNTIF(tblStundenplan[[Spalte2]:[Spalte365]],tblLehrgangsinhalte[[#This Row],[UE-Nr.]]&amp;"*"),"")</f>
        <v/>
      </c>
      <c r="J89" s="21" t="str">
        <f>IF(tblLehrgangsinhalte[[#This Row],[UE-Nr.]]&lt;&gt;"",tblLehrgangsinhalte[[#This Row],[Std.-Ansatz]]-tblLehrgangsinhalte[[#This Row],[Std. Verplant]],"")</f>
        <v/>
      </c>
      <c r="K89" s="111"/>
      <c r="L89" s="111"/>
    </row>
    <row r="90" spans="1:12" x14ac:dyDescent="0.25">
      <c r="A90" s="8" t="str">
        <f>IF(OR(tblLehrgangsinhalte[[#This Row],[Abschn.-Nr.]]="",tblLehrgangsinhalte[[#This Row],[Std.-Nr.
(10-99)]]=""),"",IF(tblLehrgangsinhalte[[#This Row],[Std.-Nr.
(10-99)]]&lt;10,tblLehrgangsinhalte[[#This Row],[Abschn.-Nr.]]&amp;"0"&amp;tblLehrgangsinhalte[[#This Row],[Std.-Nr.
(10-99)]],tblLehrgangsinhalte[[#This Row],[Abschn.-Nr.]]&amp;tblLehrgangsinhalte[[#This Row],[Std.-Nr.
(10-99)]]))</f>
        <v/>
      </c>
      <c r="B90" s="153"/>
      <c r="C90" s="6" t="str">
        <f>IF(tblLehrgangsinhalte[[#This Row],[Abschn.-Nr.]]&lt;&gt;"",VLOOKUP(tblLehrgangsinhalte[[#This Row],[Abschn.-Nr.]],tblAbschnitte[],2,FALSE),"")</f>
        <v/>
      </c>
      <c r="D90" s="91"/>
      <c r="E90" s="94"/>
      <c r="F90" s="104"/>
      <c r="G90" s="103"/>
      <c r="H90" s="104"/>
      <c r="I90" s="22" t="str">
        <f>IF(tblLehrgangsinhalte[[#This Row],[UE-Nr.]]&lt;&gt;"",COUNTIF(tblStundenplan[[Spalte2]:[Spalte365]],tblLehrgangsinhalte[[#This Row],[UE-Nr.]]&amp;"*"),"")</f>
        <v/>
      </c>
      <c r="J90" s="22" t="str">
        <f>IF(tblLehrgangsinhalte[[#This Row],[UE-Nr.]]&lt;&gt;"",tblLehrgangsinhalte[[#This Row],[Std.-Ansatz]]-tblLehrgangsinhalte[[#This Row],[Std. Verplant]],"")</f>
        <v/>
      </c>
      <c r="K90" s="112"/>
      <c r="L90" s="112"/>
    </row>
  </sheetData>
  <sheetProtection sheet="1" objects="1" scenarios="1" selectLockedCells="1"/>
  <phoneticPr fontId="13" type="noConversion"/>
  <conditionalFormatting sqref="B2:B90 D2:F90">
    <cfRule type="containsBlanks" dxfId="405" priority="10">
      <formula>LEN(TRIM(B2))=0</formula>
    </cfRule>
  </conditionalFormatting>
  <conditionalFormatting sqref="H53:H82">
    <cfRule type="containsText" dxfId="404" priority="6" operator="containsText" text="Ja">
      <formula>NOT(ISERROR(SEARCH("Ja",H53)))</formula>
    </cfRule>
  </conditionalFormatting>
  <conditionalFormatting sqref="H2:H52">
    <cfRule type="containsText" dxfId="403" priority="5" operator="containsText" text="Ja">
      <formula>NOT(ISERROR(SEARCH("Ja",H2)))</formula>
    </cfRule>
  </conditionalFormatting>
  <conditionalFormatting sqref="A2:A90">
    <cfRule type="duplicateValues" dxfId="402" priority="3"/>
  </conditionalFormatting>
  <conditionalFormatting sqref="J2:J90">
    <cfRule type="cellIs" dxfId="401" priority="1" operator="equal">
      <formula>0</formula>
    </cfRule>
    <cfRule type="cellIs" dxfId="400" priority="2" operator="notEqual">
      <formula>0</formula>
    </cfRule>
  </conditionalFormatting>
  <dataValidations count="1">
    <dataValidation type="textLength" operator="equal" allowBlank="1" showInputMessage="1" showErrorMessage="1" errorTitle="Zeichenanzahl" error="Es sind nur Zahlen zwischen 10 und 99 zulässig!" sqref="D2:D90" xr:uid="{00000000-0002-0000-0100-000000000000}">
      <formula1>2</formula1>
    </dataValidation>
  </dataValidation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blStundenplan"/>
  <dimension ref="A1:NA16"/>
  <sheetViews>
    <sheetView showRowColHeaders="0" topLeftCell="A2" zoomScale="85" zoomScaleNormal="85" workbookViewId="0">
      <pane xSplit="1" ySplit="5" topLeftCell="B7" activePane="bottomRight" state="frozen"/>
      <selection activeCell="B1" sqref="B1"/>
      <selection pane="topRight" activeCell="B1" sqref="B1"/>
      <selection pane="bottomLeft" activeCell="B1" sqref="B1"/>
      <selection pane="bottomRight" activeCell="K9" sqref="K9"/>
    </sheetView>
  </sheetViews>
  <sheetFormatPr baseColWidth="10" defaultRowHeight="15" x14ac:dyDescent="0.25"/>
  <cols>
    <col min="1" max="1" width="20.28515625" customWidth="1"/>
    <col min="2" max="2" width="7.5703125" bestFit="1" customWidth="1"/>
    <col min="3" max="6" width="12.28515625" bestFit="1" customWidth="1"/>
    <col min="7" max="8" width="6.7109375" customWidth="1"/>
    <col min="9" max="9" width="7.5703125" bestFit="1" customWidth="1"/>
    <col min="10" max="13" width="12.28515625" bestFit="1" customWidth="1"/>
    <col min="14" max="15" width="6.7109375" customWidth="1"/>
    <col min="16" max="16" width="8.5703125" bestFit="1" customWidth="1"/>
    <col min="17" max="20" width="12.28515625" bestFit="1" customWidth="1"/>
    <col min="21" max="22" width="6.7109375" customWidth="1"/>
    <col min="23" max="23" width="8.5703125" bestFit="1" customWidth="1"/>
    <col min="24" max="27" width="12.28515625" bestFit="1" customWidth="1"/>
    <col min="28" max="29" width="6.7109375" customWidth="1"/>
    <col min="30" max="30" width="8.5703125" bestFit="1" customWidth="1"/>
    <col min="31" max="34" width="12.28515625" bestFit="1" customWidth="1"/>
    <col min="35" max="36" width="6.7109375" customWidth="1"/>
    <col min="37" max="37" width="8.5703125" bestFit="1" customWidth="1"/>
    <col min="38" max="41" width="12.28515625" bestFit="1" customWidth="1"/>
    <col min="42" max="43" width="6.7109375" customWidth="1"/>
    <col min="44" max="44" width="8.5703125" bestFit="1" customWidth="1"/>
    <col min="45" max="48" width="12.28515625" bestFit="1" customWidth="1"/>
    <col min="49" max="50" width="6.7109375" customWidth="1"/>
    <col min="51" max="51" width="8.5703125" bestFit="1" customWidth="1"/>
    <col min="52" max="55" width="12.28515625" bestFit="1" customWidth="1"/>
    <col min="56" max="57" width="6.7109375" customWidth="1"/>
    <col min="58" max="58" width="8.5703125" bestFit="1" customWidth="1"/>
    <col min="59" max="62" width="12.28515625" bestFit="1" customWidth="1"/>
    <col min="63" max="64" width="6.7109375" customWidth="1"/>
    <col min="65" max="65" width="8.5703125" bestFit="1" customWidth="1"/>
    <col min="66" max="69" width="12.28515625" bestFit="1" customWidth="1"/>
    <col min="70" max="71" width="6.7109375" customWidth="1"/>
    <col min="72" max="72" width="8.5703125" bestFit="1" customWidth="1"/>
    <col min="73" max="76" width="12.28515625" bestFit="1" customWidth="1"/>
    <col min="77" max="78" width="6.7109375" customWidth="1"/>
    <col min="79" max="79" width="8.5703125" bestFit="1" customWidth="1"/>
    <col min="80" max="83" width="12.28515625" bestFit="1" customWidth="1"/>
    <col min="84" max="85" width="6.7109375" customWidth="1"/>
    <col min="86" max="86" width="8.5703125" bestFit="1" customWidth="1"/>
    <col min="87" max="90" width="12.28515625" bestFit="1" customWidth="1"/>
    <col min="91" max="92" width="6.7109375" customWidth="1"/>
    <col min="93" max="93" width="8.5703125" bestFit="1" customWidth="1"/>
    <col min="94" max="97" width="12.28515625" bestFit="1" customWidth="1"/>
    <col min="98" max="99" width="6.7109375" customWidth="1"/>
    <col min="100" max="100" width="9.5703125" bestFit="1" customWidth="1"/>
    <col min="101" max="104" width="12.28515625" bestFit="1" customWidth="1"/>
    <col min="105" max="106" width="6.7109375" customWidth="1"/>
    <col min="107" max="107" width="9.5703125" bestFit="1" customWidth="1"/>
    <col min="108" max="111" width="12.28515625" bestFit="1" customWidth="1"/>
    <col min="112" max="113" width="6.7109375" customWidth="1"/>
    <col min="114" max="114" width="9.5703125" bestFit="1" customWidth="1"/>
    <col min="115" max="118" width="12.28515625" bestFit="1" customWidth="1"/>
    <col min="119" max="120" width="6.7109375" customWidth="1"/>
    <col min="121" max="121" width="9.5703125" bestFit="1" customWidth="1"/>
    <col min="122" max="125" width="12.28515625" bestFit="1" customWidth="1"/>
    <col min="126" max="127" width="6.7109375" customWidth="1"/>
    <col min="128" max="128" width="9.5703125" bestFit="1" customWidth="1"/>
    <col min="129" max="132" width="12" bestFit="1" customWidth="1"/>
    <col min="133" max="134" width="6.7109375" customWidth="1"/>
    <col min="135" max="135" width="9.5703125" bestFit="1" customWidth="1"/>
    <col min="136" max="139" width="12" bestFit="1" customWidth="1"/>
    <col min="140" max="141" width="6.7109375" customWidth="1"/>
    <col min="142" max="142" width="9.5703125" bestFit="1" customWidth="1"/>
    <col min="143" max="146" width="12" bestFit="1" customWidth="1"/>
    <col min="147" max="148" width="6.7109375" customWidth="1"/>
    <col min="149" max="149" width="9.5703125" bestFit="1" customWidth="1"/>
    <col min="150" max="153" width="12" bestFit="1" customWidth="1"/>
    <col min="154" max="155" width="6.7109375" customWidth="1"/>
    <col min="156" max="156" width="9.5703125" bestFit="1" customWidth="1"/>
    <col min="157" max="160" width="12" bestFit="1" customWidth="1"/>
    <col min="161" max="162" width="6.7109375" customWidth="1"/>
    <col min="163" max="163" width="9.5703125" bestFit="1" customWidth="1"/>
    <col min="164" max="167" width="12" bestFit="1" customWidth="1"/>
    <col min="168" max="169" width="6.7109375" customWidth="1"/>
    <col min="170" max="170" width="9.5703125" bestFit="1" customWidth="1"/>
    <col min="171" max="174" width="12" bestFit="1" customWidth="1"/>
    <col min="175" max="176" width="6.7109375" customWidth="1"/>
    <col min="177" max="177" width="9.5703125" bestFit="1" customWidth="1"/>
    <col min="178" max="181" width="12" bestFit="1" customWidth="1"/>
    <col min="182" max="183" width="6.7109375" customWidth="1"/>
    <col min="184" max="184" width="9.5703125" bestFit="1" customWidth="1"/>
    <col min="185" max="188" width="12" bestFit="1" customWidth="1"/>
    <col min="189" max="190" width="6.7109375" customWidth="1"/>
    <col min="191" max="191" width="9.5703125" bestFit="1" customWidth="1"/>
    <col min="192" max="195" width="12" bestFit="1" customWidth="1"/>
    <col min="196" max="197" width="6.7109375" customWidth="1"/>
    <col min="198" max="198" width="9.5703125" bestFit="1" customWidth="1"/>
    <col min="199" max="202" width="12" bestFit="1" customWidth="1"/>
    <col min="203" max="204" width="6.7109375" customWidth="1"/>
    <col min="205" max="205" width="9.5703125" bestFit="1" customWidth="1"/>
    <col min="206" max="209" width="12" bestFit="1" customWidth="1"/>
    <col min="210" max="211" width="6.7109375" customWidth="1"/>
    <col min="212" max="212" width="9.5703125" bestFit="1" customWidth="1"/>
    <col min="213" max="216" width="12" bestFit="1" customWidth="1"/>
    <col min="217" max="218" width="6.7109375" customWidth="1"/>
    <col min="219" max="219" width="9.5703125" bestFit="1" customWidth="1"/>
    <col min="220" max="223" width="12" bestFit="1" customWidth="1"/>
    <col min="224" max="225" width="6.7109375" customWidth="1"/>
    <col min="226" max="226" width="9.5703125" bestFit="1" customWidth="1"/>
    <col min="227" max="230" width="12" bestFit="1" customWidth="1"/>
    <col min="231" max="232" width="6.7109375" customWidth="1"/>
    <col min="233" max="233" width="9.5703125" bestFit="1" customWidth="1"/>
    <col min="234" max="237" width="12" bestFit="1" customWidth="1"/>
    <col min="238" max="239" width="6.7109375" customWidth="1"/>
    <col min="240" max="240" width="9.5703125" bestFit="1" customWidth="1"/>
    <col min="241" max="244" width="12" bestFit="1" customWidth="1"/>
    <col min="245" max="246" width="6.7109375" customWidth="1"/>
    <col min="247" max="247" width="9.5703125" bestFit="1" customWidth="1"/>
    <col min="248" max="251" width="12" bestFit="1" customWidth="1"/>
    <col min="252" max="253" width="6.7109375" customWidth="1"/>
    <col min="254" max="254" width="9.5703125" bestFit="1" customWidth="1"/>
    <col min="255" max="258" width="12" bestFit="1" customWidth="1"/>
    <col min="259" max="260" width="6.7109375" customWidth="1"/>
    <col min="261" max="261" width="9.5703125" bestFit="1" customWidth="1"/>
    <col min="262" max="265" width="12" bestFit="1" customWidth="1"/>
    <col min="266" max="267" width="6.7109375" customWidth="1"/>
    <col min="268" max="268" width="9.5703125" bestFit="1" customWidth="1"/>
    <col min="269" max="272" width="12" bestFit="1" customWidth="1"/>
    <col min="273" max="274" width="6.7109375" customWidth="1"/>
    <col min="275" max="275" width="9.5703125" bestFit="1" customWidth="1"/>
    <col min="276" max="279" width="12" bestFit="1" customWidth="1"/>
    <col min="280" max="281" width="6.7109375" customWidth="1"/>
    <col min="282" max="282" width="9.5703125" bestFit="1" customWidth="1"/>
    <col min="283" max="286" width="12" bestFit="1" customWidth="1"/>
    <col min="287" max="288" width="6.7109375" customWidth="1"/>
    <col min="289" max="289" width="9.5703125" bestFit="1" customWidth="1"/>
    <col min="290" max="293" width="12" bestFit="1" customWidth="1"/>
    <col min="294" max="295" width="6.7109375" customWidth="1"/>
    <col min="296" max="296" width="9.5703125" bestFit="1" customWidth="1"/>
    <col min="297" max="300" width="12" bestFit="1" customWidth="1"/>
    <col min="301" max="302" width="6.7109375" customWidth="1"/>
    <col min="303" max="303" width="9.5703125" bestFit="1" customWidth="1"/>
    <col min="304" max="307" width="12" bestFit="1" customWidth="1"/>
    <col min="308" max="309" width="6.7109375" customWidth="1"/>
    <col min="310" max="310" width="9.5703125" bestFit="1" customWidth="1"/>
    <col min="311" max="314" width="12" bestFit="1" customWidth="1"/>
    <col min="315" max="316" width="6.7109375" customWidth="1"/>
    <col min="317" max="317" width="9.5703125" bestFit="1" customWidth="1"/>
    <col min="318" max="321" width="12" bestFit="1" customWidth="1"/>
    <col min="322" max="323" width="6.7109375" customWidth="1"/>
    <col min="324" max="324" width="9.5703125" bestFit="1" customWidth="1"/>
    <col min="325" max="328" width="12" bestFit="1" customWidth="1"/>
    <col min="329" max="330" width="6.7109375" customWidth="1"/>
    <col min="331" max="331" width="9.5703125" bestFit="1" customWidth="1"/>
    <col min="332" max="335" width="12" bestFit="1" customWidth="1"/>
    <col min="336" max="337" width="6.7109375" customWidth="1"/>
    <col min="338" max="338" width="9.5703125" bestFit="1" customWidth="1"/>
    <col min="339" max="342" width="12" bestFit="1" customWidth="1"/>
    <col min="343" max="344" width="6.7109375" customWidth="1"/>
    <col min="345" max="345" width="9.5703125" bestFit="1" customWidth="1"/>
    <col min="346" max="349" width="12" bestFit="1" customWidth="1"/>
    <col min="350" max="351" width="6.7109375" customWidth="1"/>
    <col min="352" max="352" width="9.5703125" bestFit="1" customWidth="1"/>
    <col min="353" max="356" width="12" bestFit="1" customWidth="1"/>
    <col min="357" max="358" width="6.7109375" customWidth="1"/>
    <col min="359" max="359" width="9.5703125" bestFit="1" customWidth="1"/>
    <col min="360" max="363" width="12" bestFit="1" customWidth="1"/>
    <col min="364" max="365" width="6.7109375" customWidth="1"/>
  </cols>
  <sheetData>
    <row r="1" spans="1:365" s="23" customFormat="1" hidden="1" x14ac:dyDescent="0.25">
      <c r="A1" s="33"/>
      <c r="B1" s="34">
        <v>1</v>
      </c>
      <c r="C1" s="34">
        <f>B1+1/7</f>
        <v>1.1428571428571428</v>
      </c>
      <c r="D1" s="34">
        <f t="shared" ref="D1:BO1" si="0">C1+1/7</f>
        <v>1.2857142857142856</v>
      </c>
      <c r="E1" s="34">
        <f t="shared" si="0"/>
        <v>1.4285714285714284</v>
      </c>
      <c r="F1" s="34">
        <f t="shared" si="0"/>
        <v>1.5714285714285712</v>
      </c>
      <c r="G1" s="34">
        <f t="shared" si="0"/>
        <v>1.714285714285714</v>
      </c>
      <c r="H1" s="34">
        <f t="shared" si="0"/>
        <v>1.8571428571428568</v>
      </c>
      <c r="I1" s="34">
        <f t="shared" si="0"/>
        <v>1.9999999999999996</v>
      </c>
      <c r="J1" s="34">
        <f t="shared" si="0"/>
        <v>2.1428571428571423</v>
      </c>
      <c r="K1" s="34">
        <f t="shared" si="0"/>
        <v>2.2857142857142851</v>
      </c>
      <c r="L1" s="34">
        <f t="shared" si="0"/>
        <v>2.4285714285714279</v>
      </c>
      <c r="M1" s="34">
        <f t="shared" si="0"/>
        <v>2.5714285714285707</v>
      </c>
      <c r="N1" s="34">
        <f t="shared" si="0"/>
        <v>2.7142857142857135</v>
      </c>
      <c r="O1" s="34">
        <f t="shared" si="0"/>
        <v>2.8571428571428563</v>
      </c>
      <c r="P1" s="34">
        <f t="shared" si="0"/>
        <v>2.9999999999999991</v>
      </c>
      <c r="Q1" s="34">
        <f t="shared" si="0"/>
        <v>3.1428571428571419</v>
      </c>
      <c r="R1" s="34">
        <f t="shared" si="0"/>
        <v>3.2857142857142847</v>
      </c>
      <c r="S1" s="34">
        <f t="shared" si="0"/>
        <v>3.4285714285714275</v>
      </c>
      <c r="T1" s="34">
        <f t="shared" si="0"/>
        <v>3.5714285714285703</v>
      </c>
      <c r="U1" s="34">
        <f t="shared" si="0"/>
        <v>3.7142857142857131</v>
      </c>
      <c r="V1" s="34">
        <f t="shared" si="0"/>
        <v>3.8571428571428559</v>
      </c>
      <c r="W1" s="34">
        <f t="shared" si="0"/>
        <v>3.9999999999999987</v>
      </c>
      <c r="X1" s="34">
        <f t="shared" si="0"/>
        <v>4.1428571428571415</v>
      </c>
      <c r="Y1" s="34">
        <f t="shared" si="0"/>
        <v>4.2857142857142847</v>
      </c>
      <c r="Z1" s="34">
        <f t="shared" si="0"/>
        <v>4.4285714285714279</v>
      </c>
      <c r="AA1" s="34">
        <f t="shared" si="0"/>
        <v>4.5714285714285712</v>
      </c>
      <c r="AB1" s="34">
        <f t="shared" si="0"/>
        <v>4.7142857142857144</v>
      </c>
      <c r="AC1" s="34">
        <f t="shared" si="0"/>
        <v>4.8571428571428577</v>
      </c>
      <c r="AD1" s="34">
        <f t="shared" si="0"/>
        <v>5.0000000000000009</v>
      </c>
      <c r="AE1" s="34">
        <f t="shared" si="0"/>
        <v>5.1428571428571441</v>
      </c>
      <c r="AF1" s="34">
        <f t="shared" si="0"/>
        <v>5.2857142857142874</v>
      </c>
      <c r="AG1" s="34">
        <f t="shared" si="0"/>
        <v>5.4285714285714306</v>
      </c>
      <c r="AH1" s="34">
        <f t="shared" si="0"/>
        <v>5.5714285714285738</v>
      </c>
      <c r="AI1" s="34">
        <f t="shared" si="0"/>
        <v>5.7142857142857171</v>
      </c>
      <c r="AJ1" s="34">
        <f t="shared" si="0"/>
        <v>5.8571428571428603</v>
      </c>
      <c r="AK1" s="34">
        <f t="shared" si="0"/>
        <v>6.0000000000000036</v>
      </c>
      <c r="AL1" s="34">
        <f t="shared" si="0"/>
        <v>6.1428571428571468</v>
      </c>
      <c r="AM1" s="34">
        <f t="shared" si="0"/>
        <v>6.28571428571429</v>
      </c>
      <c r="AN1" s="34">
        <f t="shared" si="0"/>
        <v>6.4285714285714333</v>
      </c>
      <c r="AO1" s="34">
        <f t="shared" si="0"/>
        <v>6.5714285714285765</v>
      </c>
      <c r="AP1" s="34">
        <f t="shared" si="0"/>
        <v>6.7142857142857197</v>
      </c>
      <c r="AQ1" s="34">
        <f t="shared" si="0"/>
        <v>6.857142857142863</v>
      </c>
      <c r="AR1" s="34">
        <f t="shared" si="0"/>
        <v>7.0000000000000062</v>
      </c>
      <c r="AS1" s="34">
        <f t="shared" si="0"/>
        <v>7.1428571428571495</v>
      </c>
      <c r="AT1" s="34">
        <f t="shared" si="0"/>
        <v>7.2857142857142927</v>
      </c>
      <c r="AU1" s="34">
        <f t="shared" si="0"/>
        <v>7.4285714285714359</v>
      </c>
      <c r="AV1" s="34">
        <f t="shared" si="0"/>
        <v>7.5714285714285792</v>
      </c>
      <c r="AW1" s="34">
        <f t="shared" si="0"/>
        <v>7.7142857142857224</v>
      </c>
      <c r="AX1" s="34">
        <f t="shared" si="0"/>
        <v>7.8571428571428656</v>
      </c>
      <c r="AY1" s="34">
        <f t="shared" si="0"/>
        <v>8.0000000000000089</v>
      </c>
      <c r="AZ1" s="34">
        <f t="shared" si="0"/>
        <v>8.1428571428571512</v>
      </c>
      <c r="BA1" s="34">
        <f t="shared" si="0"/>
        <v>8.2857142857142936</v>
      </c>
      <c r="BB1" s="34">
        <f t="shared" si="0"/>
        <v>8.4285714285714359</v>
      </c>
      <c r="BC1" s="34">
        <f t="shared" si="0"/>
        <v>8.5714285714285783</v>
      </c>
      <c r="BD1" s="34">
        <f t="shared" si="0"/>
        <v>8.7142857142857206</v>
      </c>
      <c r="BE1" s="34">
        <f t="shared" si="0"/>
        <v>8.857142857142863</v>
      </c>
      <c r="BF1" s="34">
        <f t="shared" si="0"/>
        <v>9.0000000000000053</v>
      </c>
      <c r="BG1" s="34">
        <f t="shared" si="0"/>
        <v>9.1428571428571477</v>
      </c>
      <c r="BH1" s="34">
        <f t="shared" si="0"/>
        <v>9.28571428571429</v>
      </c>
      <c r="BI1" s="34">
        <f t="shared" si="0"/>
        <v>9.4285714285714324</v>
      </c>
      <c r="BJ1" s="34">
        <f t="shared" si="0"/>
        <v>9.5714285714285747</v>
      </c>
      <c r="BK1" s="34">
        <f t="shared" si="0"/>
        <v>9.7142857142857171</v>
      </c>
      <c r="BL1" s="34">
        <f t="shared" si="0"/>
        <v>9.8571428571428594</v>
      </c>
      <c r="BM1" s="34">
        <f t="shared" si="0"/>
        <v>10.000000000000002</v>
      </c>
      <c r="BN1" s="34">
        <f t="shared" si="0"/>
        <v>10.142857142857144</v>
      </c>
      <c r="BO1" s="34">
        <f t="shared" si="0"/>
        <v>10.285714285714286</v>
      </c>
      <c r="BP1" s="34">
        <f t="shared" ref="BP1:EA1" si="1">BO1+1/7</f>
        <v>10.428571428571429</v>
      </c>
      <c r="BQ1" s="34">
        <f t="shared" si="1"/>
        <v>10.571428571428571</v>
      </c>
      <c r="BR1" s="34">
        <f t="shared" si="1"/>
        <v>10.714285714285714</v>
      </c>
      <c r="BS1" s="34">
        <f t="shared" si="1"/>
        <v>10.857142857142856</v>
      </c>
      <c r="BT1" s="34">
        <f t="shared" si="1"/>
        <v>10.999999999999998</v>
      </c>
      <c r="BU1" s="34">
        <f t="shared" si="1"/>
        <v>11.142857142857141</v>
      </c>
      <c r="BV1" s="34">
        <f t="shared" si="1"/>
        <v>11.285714285714283</v>
      </c>
      <c r="BW1" s="34">
        <f t="shared" si="1"/>
        <v>11.428571428571425</v>
      </c>
      <c r="BX1" s="34">
        <f t="shared" si="1"/>
        <v>11.571428571428568</v>
      </c>
      <c r="BY1" s="34">
        <f t="shared" si="1"/>
        <v>11.71428571428571</v>
      </c>
      <c r="BZ1" s="34">
        <f t="shared" si="1"/>
        <v>11.857142857142852</v>
      </c>
      <c r="CA1" s="34">
        <f t="shared" si="1"/>
        <v>11.999999999999995</v>
      </c>
      <c r="CB1" s="34">
        <f t="shared" si="1"/>
        <v>12.142857142857137</v>
      </c>
      <c r="CC1" s="34">
        <f t="shared" si="1"/>
        <v>12.285714285714279</v>
      </c>
      <c r="CD1" s="34">
        <f t="shared" si="1"/>
        <v>12.428571428571422</v>
      </c>
      <c r="CE1" s="34">
        <f t="shared" si="1"/>
        <v>12.571428571428564</v>
      </c>
      <c r="CF1" s="34">
        <f t="shared" si="1"/>
        <v>12.714285714285706</v>
      </c>
      <c r="CG1" s="34">
        <f t="shared" si="1"/>
        <v>12.857142857142849</v>
      </c>
      <c r="CH1" s="34">
        <f t="shared" si="1"/>
        <v>12.999999999999991</v>
      </c>
      <c r="CI1" s="34">
        <f t="shared" si="1"/>
        <v>13.142857142857133</v>
      </c>
      <c r="CJ1" s="34">
        <f t="shared" si="1"/>
        <v>13.285714285714276</v>
      </c>
      <c r="CK1" s="34">
        <f t="shared" si="1"/>
        <v>13.428571428571418</v>
      </c>
      <c r="CL1" s="34">
        <f t="shared" si="1"/>
        <v>13.571428571428561</v>
      </c>
      <c r="CM1" s="34">
        <f t="shared" si="1"/>
        <v>13.714285714285703</v>
      </c>
      <c r="CN1" s="34">
        <f t="shared" si="1"/>
        <v>13.857142857142845</v>
      </c>
      <c r="CO1" s="34">
        <f t="shared" si="1"/>
        <v>13.999999999999988</v>
      </c>
      <c r="CP1" s="34">
        <f t="shared" si="1"/>
        <v>14.14285714285713</v>
      </c>
      <c r="CQ1" s="34">
        <f t="shared" si="1"/>
        <v>14.285714285714272</v>
      </c>
      <c r="CR1" s="34">
        <f t="shared" si="1"/>
        <v>14.428571428571415</v>
      </c>
      <c r="CS1" s="34">
        <f t="shared" si="1"/>
        <v>14.571428571428557</v>
      </c>
      <c r="CT1" s="34">
        <f t="shared" si="1"/>
        <v>14.714285714285699</v>
      </c>
      <c r="CU1" s="34">
        <f t="shared" si="1"/>
        <v>14.857142857142842</v>
      </c>
      <c r="CV1" s="34">
        <f t="shared" si="1"/>
        <v>14.999999999999984</v>
      </c>
      <c r="CW1" s="34">
        <f t="shared" si="1"/>
        <v>15.142857142857126</v>
      </c>
      <c r="CX1" s="34">
        <f t="shared" si="1"/>
        <v>15.285714285714269</v>
      </c>
      <c r="CY1" s="34">
        <f t="shared" si="1"/>
        <v>15.428571428571411</v>
      </c>
      <c r="CZ1" s="34">
        <f t="shared" si="1"/>
        <v>15.571428571428553</v>
      </c>
      <c r="DA1" s="34">
        <f t="shared" si="1"/>
        <v>15.714285714285696</v>
      </c>
      <c r="DB1" s="34">
        <f t="shared" si="1"/>
        <v>15.857142857142838</v>
      </c>
      <c r="DC1" s="34">
        <f t="shared" si="1"/>
        <v>15.99999999999998</v>
      </c>
      <c r="DD1" s="34">
        <f t="shared" si="1"/>
        <v>16.142857142857125</v>
      </c>
      <c r="DE1" s="34">
        <f t="shared" si="1"/>
        <v>16.285714285714267</v>
      </c>
      <c r="DF1" s="34">
        <f t="shared" si="1"/>
        <v>16.428571428571409</v>
      </c>
      <c r="DG1" s="34">
        <f t="shared" si="1"/>
        <v>16.571428571428552</v>
      </c>
      <c r="DH1" s="34">
        <f t="shared" si="1"/>
        <v>16.714285714285694</v>
      </c>
      <c r="DI1" s="34">
        <f t="shared" si="1"/>
        <v>16.857142857142836</v>
      </c>
      <c r="DJ1" s="34">
        <f t="shared" si="1"/>
        <v>16.999999999999979</v>
      </c>
      <c r="DK1" s="34">
        <f t="shared" si="1"/>
        <v>17.142857142857121</v>
      </c>
      <c r="DL1" s="34">
        <f t="shared" si="1"/>
        <v>17.285714285714263</v>
      </c>
      <c r="DM1" s="34">
        <f t="shared" si="1"/>
        <v>17.428571428571406</v>
      </c>
      <c r="DN1" s="34">
        <f t="shared" si="1"/>
        <v>17.571428571428548</v>
      </c>
      <c r="DO1" s="34">
        <f t="shared" si="1"/>
        <v>17.71428571428569</v>
      </c>
      <c r="DP1" s="34">
        <f t="shared" si="1"/>
        <v>17.857142857142833</v>
      </c>
      <c r="DQ1" s="34">
        <f t="shared" si="1"/>
        <v>17.999999999999975</v>
      </c>
      <c r="DR1" s="34">
        <f t="shared" si="1"/>
        <v>18.142857142857117</v>
      </c>
      <c r="DS1" s="34">
        <f t="shared" si="1"/>
        <v>18.28571428571426</v>
      </c>
      <c r="DT1" s="34">
        <f t="shared" si="1"/>
        <v>18.428571428571402</v>
      </c>
      <c r="DU1" s="34">
        <f t="shared" si="1"/>
        <v>18.571428571428545</v>
      </c>
      <c r="DV1" s="34">
        <f t="shared" si="1"/>
        <v>18.714285714285687</v>
      </c>
      <c r="DW1" s="34">
        <f t="shared" si="1"/>
        <v>18.857142857142829</v>
      </c>
      <c r="DX1" s="34">
        <f t="shared" si="1"/>
        <v>18.999999999999972</v>
      </c>
      <c r="DY1" s="34">
        <f t="shared" si="1"/>
        <v>19.142857142857114</v>
      </c>
      <c r="DZ1" s="34">
        <f t="shared" si="1"/>
        <v>19.285714285714256</v>
      </c>
      <c r="EA1" s="34">
        <f t="shared" si="1"/>
        <v>19.428571428571399</v>
      </c>
      <c r="EB1" s="34">
        <f t="shared" ref="EB1:GM1" si="2">EA1+1/7</f>
        <v>19.571428571428541</v>
      </c>
      <c r="EC1" s="34">
        <f t="shared" si="2"/>
        <v>19.714285714285683</v>
      </c>
      <c r="ED1" s="34">
        <f t="shared" si="2"/>
        <v>19.857142857142826</v>
      </c>
      <c r="EE1" s="34">
        <f t="shared" si="2"/>
        <v>19.999999999999968</v>
      </c>
      <c r="EF1" s="34">
        <f t="shared" si="2"/>
        <v>20.14285714285711</v>
      </c>
      <c r="EG1" s="34">
        <f t="shared" si="2"/>
        <v>20.285714285714253</v>
      </c>
      <c r="EH1" s="34">
        <f t="shared" si="2"/>
        <v>20.428571428571395</v>
      </c>
      <c r="EI1" s="34">
        <f t="shared" si="2"/>
        <v>20.571428571428537</v>
      </c>
      <c r="EJ1" s="34">
        <f t="shared" si="2"/>
        <v>20.71428571428568</v>
      </c>
      <c r="EK1" s="34">
        <f t="shared" si="2"/>
        <v>20.857142857142822</v>
      </c>
      <c r="EL1" s="34">
        <f t="shared" si="2"/>
        <v>20.999999999999964</v>
      </c>
      <c r="EM1" s="34">
        <f t="shared" si="2"/>
        <v>21.142857142857107</v>
      </c>
      <c r="EN1" s="34">
        <f t="shared" si="2"/>
        <v>21.285714285714249</v>
      </c>
      <c r="EO1" s="34">
        <f t="shared" si="2"/>
        <v>21.428571428571392</v>
      </c>
      <c r="EP1" s="34">
        <f t="shared" si="2"/>
        <v>21.571428571428534</v>
      </c>
      <c r="EQ1" s="34">
        <f t="shared" si="2"/>
        <v>21.714285714285676</v>
      </c>
      <c r="ER1" s="34">
        <f t="shared" si="2"/>
        <v>21.857142857142819</v>
      </c>
      <c r="ES1" s="34">
        <f t="shared" si="2"/>
        <v>21.999999999999961</v>
      </c>
      <c r="ET1" s="34">
        <f t="shared" si="2"/>
        <v>22.142857142857103</v>
      </c>
      <c r="EU1" s="34">
        <f t="shared" si="2"/>
        <v>22.285714285714246</v>
      </c>
      <c r="EV1" s="34">
        <f t="shared" si="2"/>
        <v>22.428571428571388</v>
      </c>
      <c r="EW1" s="34">
        <f t="shared" si="2"/>
        <v>22.57142857142853</v>
      </c>
      <c r="EX1" s="34">
        <f t="shared" si="2"/>
        <v>22.714285714285673</v>
      </c>
      <c r="EY1" s="34">
        <f t="shared" si="2"/>
        <v>22.857142857142815</v>
      </c>
      <c r="EZ1" s="34">
        <f t="shared" si="2"/>
        <v>22.999999999999957</v>
      </c>
      <c r="FA1" s="34">
        <f t="shared" si="2"/>
        <v>23.1428571428571</v>
      </c>
      <c r="FB1" s="34">
        <f t="shared" si="2"/>
        <v>23.285714285714242</v>
      </c>
      <c r="FC1" s="34">
        <f t="shared" si="2"/>
        <v>23.428571428571384</v>
      </c>
      <c r="FD1" s="34">
        <f t="shared" si="2"/>
        <v>23.571428571428527</v>
      </c>
      <c r="FE1" s="34">
        <f t="shared" si="2"/>
        <v>23.714285714285669</v>
      </c>
      <c r="FF1" s="34">
        <f t="shared" si="2"/>
        <v>23.857142857142811</v>
      </c>
      <c r="FG1" s="34">
        <f t="shared" si="2"/>
        <v>23.999999999999954</v>
      </c>
      <c r="FH1" s="34">
        <f t="shared" si="2"/>
        <v>24.142857142857096</v>
      </c>
      <c r="FI1" s="34">
        <f t="shared" si="2"/>
        <v>24.285714285714239</v>
      </c>
      <c r="FJ1" s="34">
        <f t="shared" si="2"/>
        <v>24.428571428571381</v>
      </c>
      <c r="FK1" s="34">
        <f t="shared" si="2"/>
        <v>24.571428571428523</v>
      </c>
      <c r="FL1" s="34">
        <f t="shared" si="2"/>
        <v>24.714285714285666</v>
      </c>
      <c r="FM1" s="34">
        <f t="shared" si="2"/>
        <v>24.857142857142808</v>
      </c>
      <c r="FN1" s="34">
        <f t="shared" si="2"/>
        <v>24.99999999999995</v>
      </c>
      <c r="FO1" s="34">
        <f t="shared" si="2"/>
        <v>25.142857142857093</v>
      </c>
      <c r="FP1" s="34">
        <f t="shared" si="2"/>
        <v>25.285714285714235</v>
      </c>
      <c r="FQ1" s="34">
        <f t="shared" si="2"/>
        <v>25.428571428571377</v>
      </c>
      <c r="FR1" s="34">
        <f t="shared" si="2"/>
        <v>25.57142857142852</v>
      </c>
      <c r="FS1" s="34">
        <f t="shared" si="2"/>
        <v>25.714285714285662</v>
      </c>
      <c r="FT1" s="34">
        <f t="shared" si="2"/>
        <v>25.857142857142804</v>
      </c>
      <c r="FU1" s="34">
        <f t="shared" si="2"/>
        <v>25.999999999999947</v>
      </c>
      <c r="FV1" s="34">
        <f t="shared" si="2"/>
        <v>26.142857142857089</v>
      </c>
      <c r="FW1" s="34">
        <f t="shared" si="2"/>
        <v>26.285714285714231</v>
      </c>
      <c r="FX1" s="34">
        <f t="shared" si="2"/>
        <v>26.428571428571374</v>
      </c>
      <c r="FY1" s="34">
        <f t="shared" si="2"/>
        <v>26.571428571428516</v>
      </c>
      <c r="FZ1" s="34">
        <f t="shared" si="2"/>
        <v>26.714285714285658</v>
      </c>
      <c r="GA1" s="34">
        <f t="shared" si="2"/>
        <v>26.857142857142801</v>
      </c>
      <c r="GB1" s="34">
        <f t="shared" si="2"/>
        <v>26.999999999999943</v>
      </c>
      <c r="GC1" s="34">
        <f t="shared" si="2"/>
        <v>27.142857142857086</v>
      </c>
      <c r="GD1" s="34">
        <f t="shared" si="2"/>
        <v>27.285714285714228</v>
      </c>
      <c r="GE1" s="34">
        <f t="shared" si="2"/>
        <v>27.42857142857137</v>
      </c>
      <c r="GF1" s="34">
        <f t="shared" si="2"/>
        <v>27.571428571428513</v>
      </c>
      <c r="GG1" s="34">
        <f t="shared" si="2"/>
        <v>27.714285714285655</v>
      </c>
      <c r="GH1" s="34">
        <f t="shared" si="2"/>
        <v>27.857142857142797</v>
      </c>
      <c r="GI1" s="34">
        <f t="shared" si="2"/>
        <v>27.99999999999994</v>
      </c>
      <c r="GJ1" s="34">
        <f t="shared" si="2"/>
        <v>28.142857142857082</v>
      </c>
      <c r="GK1" s="34">
        <f t="shared" si="2"/>
        <v>28.285714285714224</v>
      </c>
      <c r="GL1" s="34">
        <f t="shared" si="2"/>
        <v>28.428571428571367</v>
      </c>
      <c r="GM1" s="34">
        <f t="shared" si="2"/>
        <v>28.571428571428509</v>
      </c>
      <c r="GN1" s="34">
        <f t="shared" ref="GN1:IY1" si="3">GM1+1/7</f>
        <v>28.714285714285651</v>
      </c>
      <c r="GO1" s="34">
        <f t="shared" si="3"/>
        <v>28.857142857142794</v>
      </c>
      <c r="GP1" s="34">
        <f t="shared" si="3"/>
        <v>28.999999999999936</v>
      </c>
      <c r="GQ1" s="34">
        <f t="shared" si="3"/>
        <v>29.142857142857078</v>
      </c>
      <c r="GR1" s="34">
        <f t="shared" si="3"/>
        <v>29.285714285714221</v>
      </c>
      <c r="GS1" s="34">
        <f t="shared" si="3"/>
        <v>29.428571428571363</v>
      </c>
      <c r="GT1" s="34">
        <f t="shared" si="3"/>
        <v>29.571428571428505</v>
      </c>
      <c r="GU1" s="34">
        <f t="shared" si="3"/>
        <v>29.714285714285648</v>
      </c>
      <c r="GV1" s="34">
        <f t="shared" si="3"/>
        <v>29.85714285714279</v>
      </c>
      <c r="GW1" s="34">
        <f t="shared" si="3"/>
        <v>29.999999999999932</v>
      </c>
      <c r="GX1" s="34">
        <f t="shared" si="3"/>
        <v>30.142857142857075</v>
      </c>
      <c r="GY1" s="34">
        <f t="shared" si="3"/>
        <v>30.285714285714217</v>
      </c>
      <c r="GZ1" s="34">
        <f t="shared" si="3"/>
        <v>30.42857142857136</v>
      </c>
      <c r="HA1" s="34">
        <f t="shared" si="3"/>
        <v>30.571428571428502</v>
      </c>
      <c r="HB1" s="34">
        <f t="shared" si="3"/>
        <v>30.714285714285644</v>
      </c>
      <c r="HC1" s="34">
        <f t="shared" si="3"/>
        <v>30.857142857142787</v>
      </c>
      <c r="HD1" s="34">
        <f t="shared" si="3"/>
        <v>30.999999999999929</v>
      </c>
      <c r="HE1" s="34">
        <f t="shared" si="3"/>
        <v>31.142857142857071</v>
      </c>
      <c r="HF1" s="34">
        <f t="shared" si="3"/>
        <v>31.285714285714214</v>
      </c>
      <c r="HG1" s="34">
        <f t="shared" si="3"/>
        <v>31.428571428571356</v>
      </c>
      <c r="HH1" s="34">
        <f t="shared" si="3"/>
        <v>31.571428571428498</v>
      </c>
      <c r="HI1" s="34">
        <f t="shared" si="3"/>
        <v>31.714285714285641</v>
      </c>
      <c r="HJ1" s="34">
        <f t="shared" si="3"/>
        <v>31.857142857142783</v>
      </c>
      <c r="HK1" s="34">
        <f t="shared" si="3"/>
        <v>31.999999999999925</v>
      </c>
      <c r="HL1" s="34">
        <f t="shared" si="3"/>
        <v>32.142857142857068</v>
      </c>
      <c r="HM1" s="34">
        <f t="shared" si="3"/>
        <v>32.285714285714214</v>
      </c>
      <c r="HN1" s="34">
        <f t="shared" si="3"/>
        <v>32.42857142857136</v>
      </c>
      <c r="HO1" s="34">
        <f t="shared" si="3"/>
        <v>32.571428571428505</v>
      </c>
      <c r="HP1" s="34">
        <f t="shared" si="3"/>
        <v>32.714285714285651</v>
      </c>
      <c r="HQ1" s="34">
        <f t="shared" si="3"/>
        <v>32.857142857142797</v>
      </c>
      <c r="HR1" s="34">
        <f t="shared" si="3"/>
        <v>32.999999999999943</v>
      </c>
      <c r="HS1" s="34">
        <f t="shared" si="3"/>
        <v>33.142857142857089</v>
      </c>
      <c r="HT1" s="34">
        <f t="shared" si="3"/>
        <v>33.285714285714235</v>
      </c>
      <c r="HU1" s="34">
        <f t="shared" si="3"/>
        <v>33.428571428571381</v>
      </c>
      <c r="HV1" s="34">
        <f t="shared" si="3"/>
        <v>33.571428571428527</v>
      </c>
      <c r="HW1" s="34">
        <f t="shared" si="3"/>
        <v>33.714285714285673</v>
      </c>
      <c r="HX1" s="34">
        <f t="shared" si="3"/>
        <v>33.857142857142819</v>
      </c>
      <c r="HY1" s="34">
        <f t="shared" si="3"/>
        <v>33.999999999999964</v>
      </c>
      <c r="HZ1" s="34">
        <f t="shared" si="3"/>
        <v>34.14285714285711</v>
      </c>
      <c r="IA1" s="34">
        <f t="shared" si="3"/>
        <v>34.285714285714256</v>
      </c>
      <c r="IB1" s="34">
        <f t="shared" si="3"/>
        <v>34.428571428571402</v>
      </c>
      <c r="IC1" s="34">
        <f t="shared" si="3"/>
        <v>34.571428571428548</v>
      </c>
      <c r="ID1" s="34">
        <f t="shared" si="3"/>
        <v>34.714285714285694</v>
      </c>
      <c r="IE1" s="34">
        <f t="shared" si="3"/>
        <v>34.85714285714284</v>
      </c>
      <c r="IF1" s="34">
        <f t="shared" si="3"/>
        <v>34.999999999999986</v>
      </c>
      <c r="IG1" s="34">
        <f t="shared" si="3"/>
        <v>35.142857142857132</v>
      </c>
      <c r="IH1" s="34">
        <f t="shared" si="3"/>
        <v>35.285714285714278</v>
      </c>
      <c r="II1" s="34">
        <f t="shared" si="3"/>
        <v>35.428571428571423</v>
      </c>
      <c r="IJ1" s="34">
        <f t="shared" si="3"/>
        <v>35.571428571428569</v>
      </c>
      <c r="IK1" s="34">
        <f t="shared" si="3"/>
        <v>35.714285714285715</v>
      </c>
      <c r="IL1" s="34">
        <f t="shared" si="3"/>
        <v>35.857142857142861</v>
      </c>
      <c r="IM1" s="34">
        <f t="shared" si="3"/>
        <v>36.000000000000007</v>
      </c>
      <c r="IN1" s="34">
        <f t="shared" si="3"/>
        <v>36.142857142857153</v>
      </c>
      <c r="IO1" s="34">
        <f t="shared" si="3"/>
        <v>36.285714285714299</v>
      </c>
      <c r="IP1" s="34">
        <f t="shared" si="3"/>
        <v>36.428571428571445</v>
      </c>
      <c r="IQ1" s="34">
        <f t="shared" si="3"/>
        <v>36.571428571428591</v>
      </c>
      <c r="IR1" s="34">
        <f t="shared" si="3"/>
        <v>36.714285714285737</v>
      </c>
      <c r="IS1" s="34">
        <f t="shared" si="3"/>
        <v>36.857142857142883</v>
      </c>
      <c r="IT1" s="34">
        <f t="shared" si="3"/>
        <v>37.000000000000028</v>
      </c>
      <c r="IU1" s="34">
        <f t="shared" si="3"/>
        <v>37.142857142857174</v>
      </c>
      <c r="IV1" s="34">
        <f t="shared" si="3"/>
        <v>37.28571428571432</v>
      </c>
      <c r="IW1" s="34">
        <f t="shared" si="3"/>
        <v>37.428571428571466</v>
      </c>
      <c r="IX1" s="34">
        <f t="shared" si="3"/>
        <v>37.571428571428612</v>
      </c>
      <c r="IY1" s="34">
        <f t="shared" si="3"/>
        <v>37.714285714285758</v>
      </c>
      <c r="IZ1" s="34">
        <f t="shared" ref="IZ1:LK1" si="4">IY1+1/7</f>
        <v>37.857142857142904</v>
      </c>
      <c r="JA1" s="34">
        <f t="shared" si="4"/>
        <v>38.00000000000005</v>
      </c>
      <c r="JB1" s="34">
        <f t="shared" si="4"/>
        <v>38.142857142857196</v>
      </c>
      <c r="JC1" s="34">
        <f t="shared" si="4"/>
        <v>38.285714285714342</v>
      </c>
      <c r="JD1" s="34">
        <f t="shared" si="4"/>
        <v>38.428571428571487</v>
      </c>
      <c r="JE1" s="34">
        <f t="shared" si="4"/>
        <v>38.571428571428633</v>
      </c>
      <c r="JF1" s="34">
        <f t="shared" si="4"/>
        <v>38.714285714285779</v>
      </c>
      <c r="JG1" s="34">
        <f t="shared" si="4"/>
        <v>38.857142857142925</v>
      </c>
      <c r="JH1" s="34">
        <f t="shared" si="4"/>
        <v>39.000000000000071</v>
      </c>
      <c r="JI1" s="34">
        <f t="shared" si="4"/>
        <v>39.142857142857217</v>
      </c>
      <c r="JJ1" s="34">
        <f t="shared" si="4"/>
        <v>39.285714285714363</v>
      </c>
      <c r="JK1" s="34">
        <f t="shared" si="4"/>
        <v>39.428571428571509</v>
      </c>
      <c r="JL1" s="34">
        <f t="shared" si="4"/>
        <v>39.571428571428655</v>
      </c>
      <c r="JM1" s="34">
        <f t="shared" si="4"/>
        <v>39.714285714285801</v>
      </c>
      <c r="JN1" s="34">
        <f t="shared" si="4"/>
        <v>39.857142857142946</v>
      </c>
      <c r="JO1" s="34">
        <f t="shared" si="4"/>
        <v>40.000000000000092</v>
      </c>
      <c r="JP1" s="34">
        <f t="shared" si="4"/>
        <v>40.142857142857238</v>
      </c>
      <c r="JQ1" s="34">
        <f t="shared" si="4"/>
        <v>40.285714285714384</v>
      </c>
      <c r="JR1" s="34">
        <f t="shared" si="4"/>
        <v>40.42857142857153</v>
      </c>
      <c r="JS1" s="34">
        <f t="shared" si="4"/>
        <v>40.571428571428676</v>
      </c>
      <c r="JT1" s="34">
        <f t="shared" si="4"/>
        <v>40.714285714285822</v>
      </c>
      <c r="JU1" s="34">
        <f t="shared" si="4"/>
        <v>40.857142857142968</v>
      </c>
      <c r="JV1" s="34">
        <f t="shared" si="4"/>
        <v>41.000000000000114</v>
      </c>
      <c r="JW1" s="34">
        <f t="shared" si="4"/>
        <v>41.14285714285726</v>
      </c>
      <c r="JX1" s="34">
        <f t="shared" si="4"/>
        <v>41.285714285714405</v>
      </c>
      <c r="JY1" s="34">
        <f t="shared" si="4"/>
        <v>41.428571428571551</v>
      </c>
      <c r="JZ1" s="34">
        <f t="shared" si="4"/>
        <v>41.571428571428697</v>
      </c>
      <c r="KA1" s="34">
        <f t="shared" si="4"/>
        <v>41.714285714285843</v>
      </c>
      <c r="KB1" s="34">
        <f t="shared" si="4"/>
        <v>41.857142857142989</v>
      </c>
      <c r="KC1" s="34">
        <f t="shared" si="4"/>
        <v>42.000000000000135</v>
      </c>
      <c r="KD1" s="34">
        <f t="shared" si="4"/>
        <v>42.142857142857281</v>
      </c>
      <c r="KE1" s="34">
        <f t="shared" si="4"/>
        <v>42.285714285714427</v>
      </c>
      <c r="KF1" s="34">
        <f t="shared" si="4"/>
        <v>42.428571428571573</v>
      </c>
      <c r="KG1" s="34">
        <f t="shared" si="4"/>
        <v>42.571428571428719</v>
      </c>
      <c r="KH1" s="34">
        <f t="shared" si="4"/>
        <v>42.714285714285865</v>
      </c>
      <c r="KI1" s="34">
        <f t="shared" si="4"/>
        <v>42.85714285714301</v>
      </c>
      <c r="KJ1" s="34">
        <f t="shared" si="4"/>
        <v>43.000000000000156</v>
      </c>
      <c r="KK1" s="34">
        <f t="shared" si="4"/>
        <v>43.142857142857302</v>
      </c>
      <c r="KL1" s="34">
        <f t="shared" si="4"/>
        <v>43.285714285714448</v>
      </c>
      <c r="KM1" s="34">
        <f t="shared" si="4"/>
        <v>43.428571428571594</v>
      </c>
      <c r="KN1" s="34">
        <f t="shared" si="4"/>
        <v>43.57142857142874</v>
      </c>
      <c r="KO1" s="34">
        <f t="shared" si="4"/>
        <v>43.714285714285886</v>
      </c>
      <c r="KP1" s="34">
        <f t="shared" si="4"/>
        <v>43.857142857143032</v>
      </c>
      <c r="KQ1" s="34">
        <f t="shared" si="4"/>
        <v>44.000000000000178</v>
      </c>
      <c r="KR1" s="34">
        <f t="shared" si="4"/>
        <v>44.142857142857324</v>
      </c>
      <c r="KS1" s="34">
        <f t="shared" si="4"/>
        <v>44.285714285714469</v>
      </c>
      <c r="KT1" s="34">
        <f t="shared" si="4"/>
        <v>44.428571428571615</v>
      </c>
      <c r="KU1" s="34">
        <f t="shared" si="4"/>
        <v>44.571428571428761</v>
      </c>
      <c r="KV1" s="34">
        <f t="shared" si="4"/>
        <v>44.714285714285907</v>
      </c>
      <c r="KW1" s="34">
        <f t="shared" si="4"/>
        <v>44.857142857143053</v>
      </c>
      <c r="KX1" s="34">
        <f t="shared" si="4"/>
        <v>45.000000000000199</v>
      </c>
      <c r="KY1" s="34">
        <f t="shared" si="4"/>
        <v>45.142857142857345</v>
      </c>
      <c r="KZ1" s="34">
        <f t="shared" si="4"/>
        <v>45.285714285714491</v>
      </c>
      <c r="LA1" s="34">
        <f t="shared" si="4"/>
        <v>45.428571428571637</v>
      </c>
      <c r="LB1" s="34">
        <f t="shared" si="4"/>
        <v>45.571428571428783</v>
      </c>
      <c r="LC1" s="34">
        <f t="shared" si="4"/>
        <v>45.714285714285928</v>
      </c>
      <c r="LD1" s="34">
        <f t="shared" si="4"/>
        <v>45.857142857143074</v>
      </c>
      <c r="LE1" s="34">
        <f t="shared" si="4"/>
        <v>46.00000000000022</v>
      </c>
      <c r="LF1" s="34">
        <f t="shared" si="4"/>
        <v>46.142857142857366</v>
      </c>
      <c r="LG1" s="34">
        <f t="shared" si="4"/>
        <v>46.285714285714512</v>
      </c>
      <c r="LH1" s="34">
        <f t="shared" si="4"/>
        <v>46.428571428571658</v>
      </c>
      <c r="LI1" s="34">
        <f t="shared" si="4"/>
        <v>46.571428571428804</v>
      </c>
      <c r="LJ1" s="34">
        <f t="shared" si="4"/>
        <v>46.71428571428595</v>
      </c>
      <c r="LK1" s="34">
        <f t="shared" si="4"/>
        <v>46.857142857143096</v>
      </c>
      <c r="LL1" s="34">
        <f t="shared" ref="LL1:NA1" si="5">LK1+1/7</f>
        <v>47.000000000000242</v>
      </c>
      <c r="LM1" s="34">
        <f t="shared" si="5"/>
        <v>47.142857142857387</v>
      </c>
      <c r="LN1" s="34">
        <f t="shared" si="5"/>
        <v>47.285714285714533</v>
      </c>
      <c r="LO1" s="34">
        <f t="shared" si="5"/>
        <v>47.428571428571679</v>
      </c>
      <c r="LP1" s="34">
        <f t="shared" si="5"/>
        <v>47.571428571428825</v>
      </c>
      <c r="LQ1" s="34">
        <f t="shared" si="5"/>
        <v>47.714285714285971</v>
      </c>
      <c r="LR1" s="34">
        <f t="shared" si="5"/>
        <v>47.857142857143117</v>
      </c>
      <c r="LS1" s="34">
        <f t="shared" si="5"/>
        <v>48.000000000000263</v>
      </c>
      <c r="LT1" s="34">
        <f t="shared" si="5"/>
        <v>48.142857142857409</v>
      </c>
      <c r="LU1" s="34">
        <f t="shared" si="5"/>
        <v>48.285714285714555</v>
      </c>
      <c r="LV1" s="34">
        <f t="shared" si="5"/>
        <v>48.428571428571701</v>
      </c>
      <c r="LW1" s="34">
        <f t="shared" si="5"/>
        <v>48.571428571428847</v>
      </c>
      <c r="LX1" s="34">
        <f t="shared" si="5"/>
        <v>48.714285714285992</v>
      </c>
      <c r="LY1" s="34">
        <f t="shared" si="5"/>
        <v>48.857142857143138</v>
      </c>
      <c r="LZ1" s="34">
        <f t="shared" si="5"/>
        <v>49.000000000000284</v>
      </c>
      <c r="MA1" s="34">
        <f t="shared" si="5"/>
        <v>49.14285714285743</v>
      </c>
      <c r="MB1" s="34">
        <f t="shared" si="5"/>
        <v>49.285714285714576</v>
      </c>
      <c r="MC1" s="34">
        <f t="shared" si="5"/>
        <v>49.428571428571722</v>
      </c>
      <c r="MD1" s="34">
        <f t="shared" si="5"/>
        <v>49.571428571428868</v>
      </c>
      <c r="ME1" s="34">
        <f t="shared" si="5"/>
        <v>49.714285714286014</v>
      </c>
      <c r="MF1" s="34">
        <f t="shared" si="5"/>
        <v>49.85714285714316</v>
      </c>
      <c r="MG1" s="34">
        <f t="shared" si="5"/>
        <v>50.000000000000306</v>
      </c>
      <c r="MH1" s="34">
        <f t="shared" si="5"/>
        <v>50.142857142857451</v>
      </c>
      <c r="MI1" s="34">
        <f t="shared" si="5"/>
        <v>50.285714285714597</v>
      </c>
      <c r="MJ1" s="34">
        <f t="shared" si="5"/>
        <v>50.428571428571743</v>
      </c>
      <c r="MK1" s="34">
        <f t="shared" si="5"/>
        <v>50.571428571428889</v>
      </c>
      <c r="ML1" s="34">
        <f t="shared" si="5"/>
        <v>50.714285714286035</v>
      </c>
      <c r="MM1" s="34">
        <f t="shared" si="5"/>
        <v>50.857142857143181</v>
      </c>
      <c r="MN1" s="34">
        <f t="shared" si="5"/>
        <v>51.000000000000327</v>
      </c>
      <c r="MO1" s="34">
        <f t="shared" si="5"/>
        <v>51.142857142857473</v>
      </c>
      <c r="MP1" s="34">
        <f t="shared" si="5"/>
        <v>51.285714285714619</v>
      </c>
      <c r="MQ1" s="34">
        <f t="shared" si="5"/>
        <v>51.428571428571765</v>
      </c>
      <c r="MR1" s="34">
        <f t="shared" si="5"/>
        <v>51.57142857142891</v>
      </c>
      <c r="MS1" s="34">
        <f t="shared" si="5"/>
        <v>51.714285714286056</v>
      </c>
      <c r="MT1" s="34">
        <f t="shared" si="5"/>
        <v>51.857142857143202</v>
      </c>
      <c r="MU1" s="34">
        <f t="shared" si="5"/>
        <v>52.000000000000348</v>
      </c>
      <c r="MV1" s="34">
        <f t="shared" si="5"/>
        <v>52.142857142857494</v>
      </c>
      <c r="MW1" s="34">
        <f t="shared" si="5"/>
        <v>52.28571428571464</v>
      </c>
      <c r="MX1" s="34">
        <f t="shared" si="5"/>
        <v>52.428571428571786</v>
      </c>
      <c r="MY1" s="34">
        <f t="shared" si="5"/>
        <v>52.571428571428932</v>
      </c>
      <c r="MZ1" s="34">
        <f t="shared" si="5"/>
        <v>52.714285714286078</v>
      </c>
      <c r="NA1" s="34">
        <f t="shared" si="5"/>
        <v>52.857142857143224</v>
      </c>
    </row>
    <row r="2" spans="1:365" hidden="1" x14ac:dyDescent="0.25">
      <c r="A2" s="29" t="s">
        <v>50</v>
      </c>
      <c r="B2" s="30">
        <f>IF(B4="Mo",B1,"")</f>
        <v>1</v>
      </c>
      <c r="C2" s="30" t="str">
        <f t="shared" ref="C2" si="6">IF(C4="Mo",C1,"")</f>
        <v/>
      </c>
      <c r="D2" s="30" t="str">
        <f t="shared" ref="D2" si="7">IF(D4="Mo",D1,"")</f>
        <v/>
      </c>
      <c r="E2" s="30" t="str">
        <f t="shared" ref="E2" si="8">IF(E4="Mo",E1,"")</f>
        <v/>
      </c>
      <c r="F2" s="30" t="str">
        <f t="shared" ref="F2" si="9">IF(F4="Mo",F1,"")</f>
        <v/>
      </c>
      <c r="G2" s="30" t="str">
        <f t="shared" ref="G2" si="10">IF(G4="Mo",G1,"")</f>
        <v/>
      </c>
      <c r="H2" s="30" t="str">
        <f t="shared" ref="H2" si="11">IF(H4="Mo",H1,"")</f>
        <v/>
      </c>
      <c r="I2" s="30">
        <f t="shared" ref="I2" si="12">IF(I4="Mo",I1,"")</f>
        <v>1.9999999999999996</v>
      </c>
      <c r="J2" s="30" t="str">
        <f t="shared" ref="J2" si="13">IF(J4="Mo",J1,"")</f>
        <v/>
      </c>
      <c r="K2" s="30" t="str">
        <f t="shared" ref="K2" si="14">IF(K4="Mo",K1,"")</f>
        <v/>
      </c>
      <c r="L2" s="30" t="str">
        <f t="shared" ref="L2" si="15">IF(L4="Mo",L1,"")</f>
        <v/>
      </c>
      <c r="M2" s="30" t="str">
        <f t="shared" ref="M2" si="16">IF(M4="Mo",M1,"")</f>
        <v/>
      </c>
      <c r="N2" s="30" t="str">
        <f t="shared" ref="N2" si="17">IF(N4="Mo",N1,"")</f>
        <v/>
      </c>
      <c r="O2" s="30" t="str">
        <f t="shared" ref="O2" si="18">IF(O4="Mo",O1,"")</f>
        <v/>
      </c>
      <c r="P2" s="30">
        <f t="shared" ref="P2" si="19">IF(P4="Mo",P1,"")</f>
        <v>2.9999999999999991</v>
      </c>
      <c r="Q2" s="30" t="str">
        <f t="shared" ref="Q2" si="20">IF(Q4="Mo",Q1,"")</f>
        <v/>
      </c>
      <c r="R2" s="30" t="str">
        <f t="shared" ref="R2" si="21">IF(R4="Mo",R1,"")</f>
        <v/>
      </c>
      <c r="S2" s="30" t="str">
        <f t="shared" ref="S2" si="22">IF(S4="Mo",S1,"")</f>
        <v/>
      </c>
      <c r="T2" s="30" t="str">
        <f t="shared" ref="T2" si="23">IF(T4="Mo",T1,"")</f>
        <v/>
      </c>
      <c r="U2" s="30" t="str">
        <f t="shared" ref="U2" si="24">IF(U4="Mo",U1,"")</f>
        <v/>
      </c>
      <c r="V2" s="30" t="str">
        <f t="shared" ref="V2" si="25">IF(V4="Mo",V1,"")</f>
        <v/>
      </c>
      <c r="W2" s="30">
        <f t="shared" ref="W2" si="26">IF(W4="Mo",W1,"")</f>
        <v>3.9999999999999987</v>
      </c>
      <c r="X2" s="30" t="str">
        <f t="shared" ref="X2" si="27">IF(X4="Mo",X1,"")</f>
        <v/>
      </c>
      <c r="Y2" s="30" t="str">
        <f t="shared" ref="Y2" si="28">IF(Y4="Mo",Y1,"")</f>
        <v/>
      </c>
      <c r="Z2" s="30" t="str">
        <f t="shared" ref="Z2" si="29">IF(Z4="Mo",Z1,"")</f>
        <v/>
      </c>
      <c r="AA2" s="30" t="str">
        <f t="shared" ref="AA2" si="30">IF(AA4="Mo",AA1,"")</f>
        <v/>
      </c>
      <c r="AB2" s="30" t="str">
        <f t="shared" ref="AB2" si="31">IF(AB4="Mo",AB1,"")</f>
        <v/>
      </c>
      <c r="AC2" s="30" t="str">
        <f t="shared" ref="AC2" si="32">IF(AC4="Mo",AC1,"")</f>
        <v/>
      </c>
      <c r="AD2" s="30">
        <f t="shared" ref="AD2" si="33">IF(AD4="Mo",AD1,"")</f>
        <v>5.0000000000000009</v>
      </c>
      <c r="AE2" s="30" t="str">
        <f t="shared" ref="AE2" si="34">IF(AE4="Mo",AE1,"")</f>
        <v/>
      </c>
      <c r="AF2" s="30" t="str">
        <f t="shared" ref="AF2" si="35">IF(AF4="Mo",AF1,"")</f>
        <v/>
      </c>
      <c r="AG2" s="30" t="str">
        <f t="shared" ref="AG2" si="36">IF(AG4="Mo",AG1,"")</f>
        <v/>
      </c>
      <c r="AH2" s="30" t="str">
        <f t="shared" ref="AH2" si="37">IF(AH4="Mo",AH1,"")</f>
        <v/>
      </c>
      <c r="AI2" s="30" t="str">
        <f t="shared" ref="AI2" si="38">IF(AI4="Mo",AI1,"")</f>
        <v/>
      </c>
      <c r="AJ2" s="30" t="str">
        <f t="shared" ref="AJ2" si="39">IF(AJ4="Mo",AJ1,"")</f>
        <v/>
      </c>
      <c r="AK2" s="30">
        <f t="shared" ref="AK2" si="40">IF(AK4="Mo",AK1,"")</f>
        <v>6.0000000000000036</v>
      </c>
      <c r="AL2" s="30" t="str">
        <f t="shared" ref="AL2" si="41">IF(AL4="Mo",AL1,"")</f>
        <v/>
      </c>
      <c r="AM2" s="30" t="str">
        <f t="shared" ref="AM2" si="42">IF(AM4="Mo",AM1,"")</f>
        <v/>
      </c>
      <c r="AN2" s="30" t="str">
        <f t="shared" ref="AN2" si="43">IF(AN4="Mo",AN1,"")</f>
        <v/>
      </c>
      <c r="AO2" s="30" t="str">
        <f t="shared" ref="AO2" si="44">IF(AO4="Mo",AO1,"")</f>
        <v/>
      </c>
      <c r="AP2" s="30" t="str">
        <f t="shared" ref="AP2" si="45">IF(AP4="Mo",AP1,"")</f>
        <v/>
      </c>
      <c r="AQ2" s="30" t="str">
        <f t="shared" ref="AQ2" si="46">IF(AQ4="Mo",AQ1,"")</f>
        <v/>
      </c>
      <c r="AR2" s="30">
        <f t="shared" ref="AR2" si="47">IF(AR4="Mo",AR1,"")</f>
        <v>7.0000000000000062</v>
      </c>
      <c r="AS2" s="30" t="str">
        <f t="shared" ref="AS2" si="48">IF(AS4="Mo",AS1,"")</f>
        <v/>
      </c>
      <c r="AT2" s="30" t="str">
        <f t="shared" ref="AT2" si="49">IF(AT4="Mo",AT1,"")</f>
        <v/>
      </c>
      <c r="AU2" s="30" t="str">
        <f t="shared" ref="AU2" si="50">IF(AU4="Mo",AU1,"")</f>
        <v/>
      </c>
      <c r="AV2" s="30" t="str">
        <f t="shared" ref="AV2" si="51">IF(AV4="Mo",AV1,"")</f>
        <v/>
      </c>
      <c r="AW2" s="30" t="str">
        <f t="shared" ref="AW2" si="52">IF(AW4="Mo",AW1,"")</f>
        <v/>
      </c>
      <c r="AX2" s="30" t="str">
        <f t="shared" ref="AX2" si="53">IF(AX4="Mo",AX1,"")</f>
        <v/>
      </c>
      <c r="AY2" s="30">
        <f t="shared" ref="AY2" si="54">IF(AY4="Mo",AY1,"")</f>
        <v>8.0000000000000089</v>
      </c>
      <c r="AZ2" s="30" t="str">
        <f t="shared" ref="AZ2" si="55">IF(AZ4="Mo",AZ1,"")</f>
        <v/>
      </c>
      <c r="BA2" s="30" t="str">
        <f t="shared" ref="BA2" si="56">IF(BA4="Mo",BA1,"")</f>
        <v/>
      </c>
      <c r="BB2" s="30" t="str">
        <f t="shared" ref="BB2" si="57">IF(BB4="Mo",BB1,"")</f>
        <v/>
      </c>
      <c r="BC2" s="30" t="str">
        <f t="shared" ref="BC2" si="58">IF(BC4="Mo",BC1,"")</f>
        <v/>
      </c>
      <c r="BD2" s="30" t="str">
        <f t="shared" ref="BD2" si="59">IF(BD4="Mo",BD1,"")</f>
        <v/>
      </c>
      <c r="BE2" s="30" t="str">
        <f t="shared" ref="BE2" si="60">IF(BE4="Mo",BE1,"")</f>
        <v/>
      </c>
      <c r="BF2" s="30">
        <f t="shared" ref="BF2" si="61">IF(BF4="Mo",BF1,"")</f>
        <v>9.0000000000000053</v>
      </c>
      <c r="BG2" s="30" t="str">
        <f t="shared" ref="BG2" si="62">IF(BG4="Mo",BG1,"")</f>
        <v/>
      </c>
      <c r="BH2" s="30" t="str">
        <f t="shared" ref="BH2" si="63">IF(BH4="Mo",BH1,"")</f>
        <v/>
      </c>
      <c r="BI2" s="30" t="str">
        <f t="shared" ref="BI2" si="64">IF(BI4="Mo",BI1,"")</f>
        <v/>
      </c>
      <c r="BJ2" s="30" t="str">
        <f t="shared" ref="BJ2" si="65">IF(BJ4="Mo",BJ1,"")</f>
        <v/>
      </c>
      <c r="BK2" s="30" t="str">
        <f t="shared" ref="BK2" si="66">IF(BK4="Mo",BK1,"")</f>
        <v/>
      </c>
      <c r="BL2" s="30" t="str">
        <f t="shared" ref="BL2" si="67">IF(BL4="Mo",BL1,"")</f>
        <v/>
      </c>
      <c r="BM2" s="30">
        <f t="shared" ref="BM2" si="68">IF(BM4="Mo",BM1,"")</f>
        <v>10.000000000000002</v>
      </c>
      <c r="BN2" s="30" t="str">
        <f t="shared" ref="BN2" si="69">IF(BN4="Mo",BN1,"")</f>
        <v/>
      </c>
      <c r="BO2" s="30" t="str">
        <f t="shared" ref="BO2" si="70">IF(BO4="Mo",BO1,"")</f>
        <v/>
      </c>
      <c r="BP2" s="30" t="str">
        <f t="shared" ref="BP2" si="71">IF(BP4="Mo",BP1,"")</f>
        <v/>
      </c>
      <c r="BQ2" s="30" t="str">
        <f t="shared" ref="BQ2" si="72">IF(BQ4="Mo",BQ1,"")</f>
        <v/>
      </c>
      <c r="BR2" s="30" t="str">
        <f t="shared" ref="BR2" si="73">IF(BR4="Mo",BR1,"")</f>
        <v/>
      </c>
      <c r="BS2" s="30" t="str">
        <f t="shared" ref="BS2" si="74">IF(BS4="Mo",BS1,"")</f>
        <v/>
      </c>
      <c r="BT2" s="30">
        <f t="shared" ref="BT2" si="75">IF(BT4="Mo",BT1,"")</f>
        <v>10.999999999999998</v>
      </c>
      <c r="BU2" s="30" t="str">
        <f t="shared" ref="BU2" si="76">IF(BU4="Mo",BU1,"")</f>
        <v/>
      </c>
      <c r="BV2" s="30" t="str">
        <f t="shared" ref="BV2" si="77">IF(BV4="Mo",BV1,"")</f>
        <v/>
      </c>
      <c r="BW2" s="30" t="str">
        <f t="shared" ref="BW2" si="78">IF(BW4="Mo",BW1,"")</f>
        <v/>
      </c>
      <c r="BX2" s="30" t="str">
        <f t="shared" ref="BX2" si="79">IF(BX4="Mo",BX1,"")</f>
        <v/>
      </c>
      <c r="BY2" s="30" t="str">
        <f t="shared" ref="BY2" si="80">IF(BY4="Mo",BY1,"")</f>
        <v/>
      </c>
      <c r="BZ2" s="30" t="str">
        <f t="shared" ref="BZ2" si="81">IF(BZ4="Mo",BZ1,"")</f>
        <v/>
      </c>
      <c r="CA2" s="30">
        <f t="shared" ref="CA2" si="82">IF(CA4="Mo",CA1,"")</f>
        <v>11.999999999999995</v>
      </c>
      <c r="CB2" s="30" t="str">
        <f t="shared" ref="CB2" si="83">IF(CB4="Mo",CB1,"")</f>
        <v/>
      </c>
      <c r="CC2" s="30" t="str">
        <f t="shared" ref="CC2" si="84">IF(CC4="Mo",CC1,"")</f>
        <v/>
      </c>
      <c r="CD2" s="30" t="str">
        <f t="shared" ref="CD2" si="85">IF(CD4="Mo",CD1,"")</f>
        <v/>
      </c>
      <c r="CE2" s="30" t="str">
        <f t="shared" ref="CE2" si="86">IF(CE4="Mo",CE1,"")</f>
        <v/>
      </c>
      <c r="CF2" s="30" t="str">
        <f t="shared" ref="CF2" si="87">IF(CF4="Mo",CF1,"")</f>
        <v/>
      </c>
      <c r="CG2" s="30" t="str">
        <f t="shared" ref="CG2" si="88">IF(CG4="Mo",CG1,"")</f>
        <v/>
      </c>
      <c r="CH2" s="30">
        <f t="shared" ref="CH2" si="89">IF(CH4="Mo",CH1,"")</f>
        <v>12.999999999999991</v>
      </c>
      <c r="CI2" s="30" t="str">
        <f t="shared" ref="CI2" si="90">IF(CI4="Mo",CI1,"")</f>
        <v/>
      </c>
      <c r="CJ2" s="30" t="str">
        <f t="shared" ref="CJ2" si="91">IF(CJ4="Mo",CJ1,"")</f>
        <v/>
      </c>
      <c r="CK2" s="30" t="str">
        <f t="shared" ref="CK2" si="92">IF(CK4="Mo",CK1,"")</f>
        <v/>
      </c>
      <c r="CL2" s="30" t="str">
        <f t="shared" ref="CL2" si="93">IF(CL4="Mo",CL1,"")</f>
        <v/>
      </c>
      <c r="CM2" s="30" t="str">
        <f t="shared" ref="CM2" si="94">IF(CM4="Mo",CM1,"")</f>
        <v/>
      </c>
      <c r="CN2" s="30" t="str">
        <f t="shared" ref="CN2" si="95">IF(CN4="Mo",CN1,"")</f>
        <v/>
      </c>
      <c r="CO2" s="30">
        <f t="shared" ref="CO2" si="96">IF(CO4="Mo",CO1,"")</f>
        <v>13.999999999999988</v>
      </c>
      <c r="CP2" s="30" t="str">
        <f t="shared" ref="CP2" si="97">IF(CP4="Mo",CP1,"")</f>
        <v/>
      </c>
      <c r="CQ2" s="30" t="str">
        <f t="shared" ref="CQ2" si="98">IF(CQ4="Mo",CQ1,"")</f>
        <v/>
      </c>
      <c r="CR2" s="30" t="str">
        <f t="shared" ref="CR2" si="99">IF(CR4="Mo",CR1,"")</f>
        <v/>
      </c>
      <c r="CS2" s="30" t="str">
        <f t="shared" ref="CS2" si="100">IF(CS4="Mo",CS1,"")</f>
        <v/>
      </c>
      <c r="CT2" s="30" t="str">
        <f t="shared" ref="CT2" si="101">IF(CT4="Mo",CT1,"")</f>
        <v/>
      </c>
      <c r="CU2" s="30" t="str">
        <f t="shared" ref="CU2" si="102">IF(CU4="Mo",CU1,"")</f>
        <v/>
      </c>
      <c r="CV2" s="30">
        <f t="shared" ref="CV2" si="103">IF(CV4="Mo",CV1,"")</f>
        <v>14.999999999999984</v>
      </c>
      <c r="CW2" s="30" t="str">
        <f t="shared" ref="CW2" si="104">IF(CW4="Mo",CW1,"")</f>
        <v/>
      </c>
      <c r="CX2" s="30" t="str">
        <f t="shared" ref="CX2" si="105">IF(CX4="Mo",CX1,"")</f>
        <v/>
      </c>
      <c r="CY2" s="30" t="str">
        <f t="shared" ref="CY2" si="106">IF(CY4="Mo",CY1,"")</f>
        <v/>
      </c>
      <c r="CZ2" s="30" t="str">
        <f t="shared" ref="CZ2" si="107">IF(CZ4="Mo",CZ1,"")</f>
        <v/>
      </c>
      <c r="DA2" s="30" t="str">
        <f t="shared" ref="DA2" si="108">IF(DA4="Mo",DA1,"")</f>
        <v/>
      </c>
      <c r="DB2" s="30" t="str">
        <f t="shared" ref="DB2" si="109">IF(DB4="Mo",DB1,"")</f>
        <v/>
      </c>
      <c r="DC2" s="30">
        <f t="shared" ref="DC2" si="110">IF(DC4="Mo",DC1,"")</f>
        <v>15.99999999999998</v>
      </c>
      <c r="DD2" s="30" t="str">
        <f t="shared" ref="DD2" si="111">IF(DD4="Mo",DD1,"")</f>
        <v/>
      </c>
      <c r="DE2" s="30" t="str">
        <f t="shared" ref="DE2" si="112">IF(DE4="Mo",DE1,"")</f>
        <v/>
      </c>
      <c r="DF2" s="30" t="str">
        <f t="shared" ref="DF2" si="113">IF(DF4="Mo",DF1,"")</f>
        <v/>
      </c>
      <c r="DG2" s="30" t="str">
        <f t="shared" ref="DG2" si="114">IF(DG4="Mo",DG1,"")</f>
        <v/>
      </c>
      <c r="DH2" s="30" t="str">
        <f t="shared" ref="DH2" si="115">IF(DH4="Mo",DH1,"")</f>
        <v/>
      </c>
      <c r="DI2" s="30" t="str">
        <f t="shared" ref="DI2" si="116">IF(DI4="Mo",DI1,"")</f>
        <v/>
      </c>
      <c r="DJ2" s="30">
        <f t="shared" ref="DJ2" si="117">IF(DJ4="Mo",DJ1,"")</f>
        <v>16.999999999999979</v>
      </c>
      <c r="DK2" s="30" t="str">
        <f t="shared" ref="DK2" si="118">IF(DK4="Mo",DK1,"")</f>
        <v/>
      </c>
      <c r="DL2" s="30" t="str">
        <f t="shared" ref="DL2" si="119">IF(DL4="Mo",DL1,"")</f>
        <v/>
      </c>
      <c r="DM2" s="30" t="str">
        <f t="shared" ref="DM2" si="120">IF(DM4="Mo",DM1,"")</f>
        <v/>
      </c>
      <c r="DN2" s="30" t="str">
        <f t="shared" ref="DN2" si="121">IF(DN4="Mo",DN1,"")</f>
        <v/>
      </c>
      <c r="DO2" s="30" t="str">
        <f t="shared" ref="DO2" si="122">IF(DO4="Mo",DO1,"")</f>
        <v/>
      </c>
      <c r="DP2" s="30" t="str">
        <f t="shared" ref="DP2" si="123">IF(DP4="Mo",DP1,"")</f>
        <v/>
      </c>
      <c r="DQ2" s="30">
        <f t="shared" ref="DQ2" si="124">IF(DQ4="Mo",DQ1,"")</f>
        <v>17.999999999999975</v>
      </c>
      <c r="DR2" s="30" t="str">
        <f t="shared" ref="DR2" si="125">IF(DR4="Mo",DR1,"")</f>
        <v/>
      </c>
      <c r="DS2" s="30" t="str">
        <f t="shared" ref="DS2" si="126">IF(DS4="Mo",DS1,"")</f>
        <v/>
      </c>
      <c r="DT2" s="30" t="str">
        <f t="shared" ref="DT2" si="127">IF(DT4="Mo",DT1,"")</f>
        <v/>
      </c>
      <c r="DU2" s="30" t="str">
        <f t="shared" ref="DU2" si="128">IF(DU4="Mo",DU1,"")</f>
        <v/>
      </c>
      <c r="DV2" s="30" t="str">
        <f t="shared" ref="DV2" si="129">IF(DV4="Mo",DV1,"")</f>
        <v/>
      </c>
      <c r="DW2" s="30" t="str">
        <f t="shared" ref="DW2" si="130">IF(DW4="Mo",DW1,"")</f>
        <v/>
      </c>
      <c r="DX2" s="30">
        <f t="shared" ref="DX2" si="131">IF(DX4="Mo",DX1,"")</f>
        <v>18.999999999999972</v>
      </c>
      <c r="DY2" s="30" t="str">
        <f t="shared" ref="DY2" si="132">IF(DY4="Mo",DY1,"")</f>
        <v/>
      </c>
      <c r="DZ2" s="30" t="str">
        <f t="shared" ref="DZ2" si="133">IF(DZ4="Mo",DZ1,"")</f>
        <v/>
      </c>
      <c r="EA2" s="30" t="str">
        <f t="shared" ref="EA2" si="134">IF(EA4="Mo",EA1,"")</f>
        <v/>
      </c>
      <c r="EB2" s="30" t="str">
        <f t="shared" ref="EB2" si="135">IF(EB4="Mo",EB1,"")</f>
        <v/>
      </c>
      <c r="EC2" s="30" t="str">
        <f t="shared" ref="EC2" si="136">IF(EC4="Mo",EC1,"")</f>
        <v/>
      </c>
      <c r="ED2" s="30" t="str">
        <f t="shared" ref="ED2" si="137">IF(ED4="Mo",ED1,"")</f>
        <v/>
      </c>
      <c r="EE2" s="30">
        <f t="shared" ref="EE2" si="138">IF(EE4="Mo",EE1,"")</f>
        <v>19.999999999999968</v>
      </c>
      <c r="EF2" s="30" t="str">
        <f t="shared" ref="EF2" si="139">IF(EF4="Mo",EF1,"")</f>
        <v/>
      </c>
      <c r="EG2" s="30" t="str">
        <f t="shared" ref="EG2" si="140">IF(EG4="Mo",EG1,"")</f>
        <v/>
      </c>
      <c r="EH2" s="30" t="str">
        <f t="shared" ref="EH2" si="141">IF(EH4="Mo",EH1,"")</f>
        <v/>
      </c>
      <c r="EI2" s="30" t="str">
        <f t="shared" ref="EI2" si="142">IF(EI4="Mo",EI1,"")</f>
        <v/>
      </c>
      <c r="EJ2" s="30" t="str">
        <f t="shared" ref="EJ2" si="143">IF(EJ4="Mo",EJ1,"")</f>
        <v/>
      </c>
      <c r="EK2" s="30" t="str">
        <f t="shared" ref="EK2" si="144">IF(EK4="Mo",EK1,"")</f>
        <v/>
      </c>
      <c r="EL2" s="30">
        <f t="shared" ref="EL2" si="145">IF(EL4="Mo",EL1,"")</f>
        <v>20.999999999999964</v>
      </c>
      <c r="EM2" s="30" t="str">
        <f t="shared" ref="EM2" si="146">IF(EM4="Mo",EM1,"")</f>
        <v/>
      </c>
      <c r="EN2" s="30" t="str">
        <f t="shared" ref="EN2" si="147">IF(EN4="Mo",EN1,"")</f>
        <v/>
      </c>
      <c r="EO2" s="30" t="str">
        <f t="shared" ref="EO2" si="148">IF(EO4="Mo",EO1,"")</f>
        <v/>
      </c>
      <c r="EP2" s="30" t="str">
        <f t="shared" ref="EP2" si="149">IF(EP4="Mo",EP1,"")</f>
        <v/>
      </c>
      <c r="EQ2" s="30" t="str">
        <f t="shared" ref="EQ2" si="150">IF(EQ4="Mo",EQ1,"")</f>
        <v/>
      </c>
      <c r="ER2" s="30" t="str">
        <f t="shared" ref="ER2" si="151">IF(ER4="Mo",ER1,"")</f>
        <v/>
      </c>
      <c r="ES2" s="30">
        <f t="shared" ref="ES2" si="152">IF(ES4="Mo",ES1,"")</f>
        <v>21.999999999999961</v>
      </c>
      <c r="ET2" s="30" t="str">
        <f t="shared" ref="ET2" si="153">IF(ET4="Mo",ET1,"")</f>
        <v/>
      </c>
      <c r="EU2" s="30" t="str">
        <f t="shared" ref="EU2" si="154">IF(EU4="Mo",EU1,"")</f>
        <v/>
      </c>
      <c r="EV2" s="30" t="str">
        <f t="shared" ref="EV2" si="155">IF(EV4="Mo",EV1,"")</f>
        <v/>
      </c>
      <c r="EW2" s="30" t="str">
        <f t="shared" ref="EW2" si="156">IF(EW4="Mo",EW1,"")</f>
        <v/>
      </c>
      <c r="EX2" s="30" t="str">
        <f t="shared" ref="EX2" si="157">IF(EX4="Mo",EX1,"")</f>
        <v/>
      </c>
      <c r="EY2" s="30" t="str">
        <f t="shared" ref="EY2" si="158">IF(EY4="Mo",EY1,"")</f>
        <v/>
      </c>
      <c r="EZ2" s="30">
        <f t="shared" ref="EZ2" si="159">IF(EZ4="Mo",EZ1,"")</f>
        <v>22.999999999999957</v>
      </c>
      <c r="FA2" s="30" t="str">
        <f t="shared" ref="FA2" si="160">IF(FA4="Mo",FA1,"")</f>
        <v/>
      </c>
      <c r="FB2" s="30" t="str">
        <f t="shared" ref="FB2" si="161">IF(FB4="Mo",FB1,"")</f>
        <v/>
      </c>
      <c r="FC2" s="30" t="str">
        <f t="shared" ref="FC2" si="162">IF(FC4="Mo",FC1,"")</f>
        <v/>
      </c>
      <c r="FD2" s="30" t="str">
        <f t="shared" ref="FD2" si="163">IF(FD4="Mo",FD1,"")</f>
        <v/>
      </c>
      <c r="FE2" s="30" t="str">
        <f t="shared" ref="FE2" si="164">IF(FE4="Mo",FE1,"")</f>
        <v/>
      </c>
      <c r="FF2" s="30" t="str">
        <f t="shared" ref="FF2" si="165">IF(FF4="Mo",FF1,"")</f>
        <v/>
      </c>
      <c r="FG2" s="30">
        <f t="shared" ref="FG2" si="166">IF(FG4="Mo",FG1,"")</f>
        <v>23.999999999999954</v>
      </c>
      <c r="FH2" s="30" t="str">
        <f t="shared" ref="FH2" si="167">IF(FH4="Mo",FH1,"")</f>
        <v/>
      </c>
      <c r="FI2" s="30" t="str">
        <f t="shared" ref="FI2" si="168">IF(FI4="Mo",FI1,"")</f>
        <v/>
      </c>
      <c r="FJ2" s="30" t="str">
        <f t="shared" ref="FJ2" si="169">IF(FJ4="Mo",FJ1,"")</f>
        <v/>
      </c>
      <c r="FK2" s="30" t="str">
        <f t="shared" ref="FK2" si="170">IF(FK4="Mo",FK1,"")</f>
        <v/>
      </c>
      <c r="FL2" s="30" t="str">
        <f t="shared" ref="FL2" si="171">IF(FL4="Mo",FL1,"")</f>
        <v/>
      </c>
      <c r="FM2" s="30" t="str">
        <f t="shared" ref="FM2" si="172">IF(FM4="Mo",FM1,"")</f>
        <v/>
      </c>
      <c r="FN2" s="30">
        <f t="shared" ref="FN2" si="173">IF(FN4="Mo",FN1,"")</f>
        <v>24.99999999999995</v>
      </c>
      <c r="FO2" s="30" t="str">
        <f t="shared" ref="FO2" si="174">IF(FO4="Mo",FO1,"")</f>
        <v/>
      </c>
      <c r="FP2" s="30" t="str">
        <f t="shared" ref="FP2" si="175">IF(FP4="Mo",FP1,"")</f>
        <v/>
      </c>
      <c r="FQ2" s="30" t="str">
        <f t="shared" ref="FQ2" si="176">IF(FQ4="Mo",FQ1,"")</f>
        <v/>
      </c>
      <c r="FR2" s="30" t="str">
        <f t="shared" ref="FR2" si="177">IF(FR4="Mo",FR1,"")</f>
        <v/>
      </c>
      <c r="FS2" s="30" t="str">
        <f t="shared" ref="FS2" si="178">IF(FS4="Mo",FS1,"")</f>
        <v/>
      </c>
      <c r="FT2" s="30" t="str">
        <f t="shared" ref="FT2" si="179">IF(FT4="Mo",FT1,"")</f>
        <v/>
      </c>
      <c r="FU2" s="30">
        <f t="shared" ref="FU2" si="180">IF(FU4="Mo",FU1,"")</f>
        <v>25.999999999999947</v>
      </c>
      <c r="FV2" s="30" t="str">
        <f t="shared" ref="FV2" si="181">IF(FV4="Mo",FV1,"")</f>
        <v/>
      </c>
      <c r="FW2" s="30" t="str">
        <f t="shared" ref="FW2" si="182">IF(FW4="Mo",FW1,"")</f>
        <v/>
      </c>
      <c r="FX2" s="30" t="str">
        <f t="shared" ref="FX2" si="183">IF(FX4="Mo",FX1,"")</f>
        <v/>
      </c>
      <c r="FY2" s="30" t="str">
        <f t="shared" ref="FY2" si="184">IF(FY4="Mo",FY1,"")</f>
        <v/>
      </c>
      <c r="FZ2" s="30" t="str">
        <f t="shared" ref="FZ2" si="185">IF(FZ4="Mo",FZ1,"")</f>
        <v/>
      </c>
      <c r="GA2" s="30" t="str">
        <f t="shared" ref="GA2" si="186">IF(GA4="Mo",GA1,"")</f>
        <v/>
      </c>
      <c r="GB2" s="30">
        <f t="shared" ref="GB2" si="187">IF(GB4="Mo",GB1,"")</f>
        <v>26.999999999999943</v>
      </c>
      <c r="GC2" s="30" t="str">
        <f t="shared" ref="GC2" si="188">IF(GC4="Mo",GC1,"")</f>
        <v/>
      </c>
      <c r="GD2" s="30" t="str">
        <f t="shared" ref="GD2" si="189">IF(GD4="Mo",GD1,"")</f>
        <v/>
      </c>
      <c r="GE2" s="30" t="str">
        <f t="shared" ref="GE2" si="190">IF(GE4="Mo",GE1,"")</f>
        <v/>
      </c>
      <c r="GF2" s="30" t="str">
        <f t="shared" ref="GF2" si="191">IF(GF4="Mo",GF1,"")</f>
        <v/>
      </c>
      <c r="GG2" s="30" t="str">
        <f t="shared" ref="GG2" si="192">IF(GG4="Mo",GG1,"")</f>
        <v/>
      </c>
      <c r="GH2" s="30" t="str">
        <f t="shared" ref="GH2" si="193">IF(GH4="Mo",GH1,"")</f>
        <v/>
      </c>
      <c r="GI2" s="30">
        <f t="shared" ref="GI2" si="194">IF(GI4="Mo",GI1,"")</f>
        <v>27.99999999999994</v>
      </c>
      <c r="GJ2" s="30" t="str">
        <f t="shared" ref="GJ2" si="195">IF(GJ4="Mo",GJ1,"")</f>
        <v/>
      </c>
      <c r="GK2" s="30" t="str">
        <f t="shared" ref="GK2" si="196">IF(GK4="Mo",GK1,"")</f>
        <v/>
      </c>
      <c r="GL2" s="30" t="str">
        <f t="shared" ref="GL2" si="197">IF(GL4="Mo",GL1,"")</f>
        <v/>
      </c>
      <c r="GM2" s="30" t="str">
        <f t="shared" ref="GM2" si="198">IF(GM4="Mo",GM1,"")</f>
        <v/>
      </c>
      <c r="GN2" s="30" t="str">
        <f t="shared" ref="GN2" si="199">IF(GN4="Mo",GN1,"")</f>
        <v/>
      </c>
      <c r="GO2" s="30" t="str">
        <f t="shared" ref="GO2" si="200">IF(GO4="Mo",GO1,"")</f>
        <v/>
      </c>
      <c r="GP2" s="30">
        <f t="shared" ref="GP2" si="201">IF(GP4="Mo",GP1,"")</f>
        <v>28.999999999999936</v>
      </c>
      <c r="GQ2" s="30" t="str">
        <f t="shared" ref="GQ2" si="202">IF(GQ4="Mo",GQ1,"")</f>
        <v/>
      </c>
      <c r="GR2" s="30" t="str">
        <f t="shared" ref="GR2" si="203">IF(GR4="Mo",GR1,"")</f>
        <v/>
      </c>
      <c r="GS2" s="30" t="str">
        <f t="shared" ref="GS2" si="204">IF(GS4="Mo",GS1,"")</f>
        <v/>
      </c>
      <c r="GT2" s="30" t="str">
        <f t="shared" ref="GT2" si="205">IF(GT4="Mo",GT1,"")</f>
        <v/>
      </c>
      <c r="GU2" s="30" t="str">
        <f t="shared" ref="GU2" si="206">IF(GU4="Mo",GU1,"")</f>
        <v/>
      </c>
      <c r="GV2" s="30" t="str">
        <f t="shared" ref="GV2" si="207">IF(GV4="Mo",GV1,"")</f>
        <v/>
      </c>
      <c r="GW2" s="30">
        <f t="shared" ref="GW2" si="208">IF(GW4="Mo",GW1,"")</f>
        <v>29.999999999999932</v>
      </c>
      <c r="GX2" s="30" t="str">
        <f t="shared" ref="GX2" si="209">IF(GX4="Mo",GX1,"")</f>
        <v/>
      </c>
      <c r="GY2" s="30" t="str">
        <f t="shared" ref="GY2" si="210">IF(GY4="Mo",GY1,"")</f>
        <v/>
      </c>
      <c r="GZ2" s="30" t="str">
        <f t="shared" ref="GZ2" si="211">IF(GZ4="Mo",GZ1,"")</f>
        <v/>
      </c>
      <c r="HA2" s="30" t="str">
        <f t="shared" ref="HA2" si="212">IF(HA4="Mo",HA1,"")</f>
        <v/>
      </c>
      <c r="HB2" s="30" t="str">
        <f t="shared" ref="HB2" si="213">IF(HB4="Mo",HB1,"")</f>
        <v/>
      </c>
      <c r="HC2" s="30" t="str">
        <f t="shared" ref="HC2" si="214">IF(HC4="Mo",HC1,"")</f>
        <v/>
      </c>
      <c r="HD2" s="30">
        <f t="shared" ref="HD2" si="215">IF(HD4="Mo",HD1,"")</f>
        <v>30.999999999999929</v>
      </c>
      <c r="HE2" s="30" t="str">
        <f t="shared" ref="HE2" si="216">IF(HE4="Mo",HE1,"")</f>
        <v/>
      </c>
      <c r="HF2" s="30" t="str">
        <f t="shared" ref="HF2" si="217">IF(HF4="Mo",HF1,"")</f>
        <v/>
      </c>
      <c r="HG2" s="30" t="str">
        <f t="shared" ref="HG2" si="218">IF(HG4="Mo",HG1,"")</f>
        <v/>
      </c>
      <c r="HH2" s="30" t="str">
        <f t="shared" ref="HH2" si="219">IF(HH4="Mo",HH1,"")</f>
        <v/>
      </c>
      <c r="HI2" s="30" t="str">
        <f t="shared" ref="HI2" si="220">IF(HI4="Mo",HI1,"")</f>
        <v/>
      </c>
      <c r="HJ2" s="30" t="str">
        <f t="shared" ref="HJ2" si="221">IF(HJ4="Mo",HJ1,"")</f>
        <v/>
      </c>
      <c r="HK2" s="30">
        <f t="shared" ref="HK2" si="222">IF(HK4="Mo",HK1,"")</f>
        <v>31.999999999999925</v>
      </c>
      <c r="HL2" s="30" t="str">
        <f t="shared" ref="HL2" si="223">IF(HL4="Mo",HL1,"")</f>
        <v/>
      </c>
      <c r="HM2" s="30" t="str">
        <f t="shared" ref="HM2" si="224">IF(HM4="Mo",HM1,"")</f>
        <v/>
      </c>
      <c r="HN2" s="30" t="str">
        <f t="shared" ref="HN2" si="225">IF(HN4="Mo",HN1,"")</f>
        <v/>
      </c>
      <c r="HO2" s="30" t="str">
        <f t="shared" ref="HO2" si="226">IF(HO4="Mo",HO1,"")</f>
        <v/>
      </c>
      <c r="HP2" s="30" t="str">
        <f t="shared" ref="HP2" si="227">IF(HP4="Mo",HP1,"")</f>
        <v/>
      </c>
      <c r="HQ2" s="30" t="str">
        <f t="shared" ref="HQ2" si="228">IF(HQ4="Mo",HQ1,"")</f>
        <v/>
      </c>
      <c r="HR2" s="30">
        <f t="shared" ref="HR2" si="229">IF(HR4="Mo",HR1,"")</f>
        <v>32.999999999999943</v>
      </c>
      <c r="HS2" s="30" t="str">
        <f t="shared" ref="HS2" si="230">IF(HS4="Mo",HS1,"")</f>
        <v/>
      </c>
      <c r="HT2" s="30" t="str">
        <f t="shared" ref="HT2" si="231">IF(HT4="Mo",HT1,"")</f>
        <v/>
      </c>
      <c r="HU2" s="30" t="str">
        <f t="shared" ref="HU2" si="232">IF(HU4="Mo",HU1,"")</f>
        <v/>
      </c>
      <c r="HV2" s="30" t="str">
        <f t="shared" ref="HV2" si="233">IF(HV4="Mo",HV1,"")</f>
        <v/>
      </c>
      <c r="HW2" s="30" t="str">
        <f t="shared" ref="HW2" si="234">IF(HW4="Mo",HW1,"")</f>
        <v/>
      </c>
      <c r="HX2" s="30" t="str">
        <f t="shared" ref="HX2" si="235">IF(HX4="Mo",HX1,"")</f>
        <v/>
      </c>
      <c r="HY2" s="30">
        <f t="shared" ref="HY2" si="236">IF(HY4="Mo",HY1,"")</f>
        <v>33.999999999999964</v>
      </c>
      <c r="HZ2" s="30" t="str">
        <f t="shared" ref="HZ2" si="237">IF(HZ4="Mo",HZ1,"")</f>
        <v/>
      </c>
      <c r="IA2" s="30" t="str">
        <f t="shared" ref="IA2" si="238">IF(IA4="Mo",IA1,"")</f>
        <v/>
      </c>
      <c r="IB2" s="30" t="str">
        <f t="shared" ref="IB2" si="239">IF(IB4="Mo",IB1,"")</f>
        <v/>
      </c>
      <c r="IC2" s="30" t="str">
        <f t="shared" ref="IC2" si="240">IF(IC4="Mo",IC1,"")</f>
        <v/>
      </c>
      <c r="ID2" s="30" t="str">
        <f t="shared" ref="ID2" si="241">IF(ID4="Mo",ID1,"")</f>
        <v/>
      </c>
      <c r="IE2" s="30" t="str">
        <f t="shared" ref="IE2" si="242">IF(IE4="Mo",IE1,"")</f>
        <v/>
      </c>
      <c r="IF2" s="30">
        <f t="shared" ref="IF2" si="243">IF(IF4="Mo",IF1,"")</f>
        <v>34.999999999999986</v>
      </c>
      <c r="IG2" s="30" t="str">
        <f t="shared" ref="IG2" si="244">IF(IG4="Mo",IG1,"")</f>
        <v/>
      </c>
      <c r="IH2" s="30" t="str">
        <f t="shared" ref="IH2" si="245">IF(IH4="Mo",IH1,"")</f>
        <v/>
      </c>
      <c r="II2" s="30" t="str">
        <f t="shared" ref="II2" si="246">IF(II4="Mo",II1,"")</f>
        <v/>
      </c>
      <c r="IJ2" s="30" t="str">
        <f t="shared" ref="IJ2" si="247">IF(IJ4="Mo",IJ1,"")</f>
        <v/>
      </c>
      <c r="IK2" s="30" t="str">
        <f t="shared" ref="IK2" si="248">IF(IK4="Mo",IK1,"")</f>
        <v/>
      </c>
      <c r="IL2" s="30" t="str">
        <f t="shared" ref="IL2" si="249">IF(IL4="Mo",IL1,"")</f>
        <v/>
      </c>
      <c r="IM2" s="30">
        <f t="shared" ref="IM2" si="250">IF(IM4="Mo",IM1,"")</f>
        <v>36.000000000000007</v>
      </c>
      <c r="IN2" s="30" t="str">
        <f t="shared" ref="IN2" si="251">IF(IN4="Mo",IN1,"")</f>
        <v/>
      </c>
      <c r="IO2" s="30" t="str">
        <f t="shared" ref="IO2" si="252">IF(IO4="Mo",IO1,"")</f>
        <v/>
      </c>
      <c r="IP2" s="30" t="str">
        <f t="shared" ref="IP2" si="253">IF(IP4="Mo",IP1,"")</f>
        <v/>
      </c>
      <c r="IQ2" s="30" t="str">
        <f t="shared" ref="IQ2" si="254">IF(IQ4="Mo",IQ1,"")</f>
        <v/>
      </c>
      <c r="IR2" s="30" t="str">
        <f t="shared" ref="IR2" si="255">IF(IR4="Mo",IR1,"")</f>
        <v/>
      </c>
      <c r="IS2" s="30" t="str">
        <f t="shared" ref="IS2" si="256">IF(IS4="Mo",IS1,"")</f>
        <v/>
      </c>
      <c r="IT2" s="30">
        <f t="shared" ref="IT2" si="257">IF(IT4="Mo",IT1,"")</f>
        <v>37.000000000000028</v>
      </c>
      <c r="IU2" s="30" t="str">
        <f t="shared" ref="IU2" si="258">IF(IU4="Mo",IU1,"")</f>
        <v/>
      </c>
      <c r="IV2" s="30" t="str">
        <f t="shared" ref="IV2" si="259">IF(IV4="Mo",IV1,"")</f>
        <v/>
      </c>
      <c r="IW2" s="30" t="str">
        <f t="shared" ref="IW2" si="260">IF(IW4="Mo",IW1,"")</f>
        <v/>
      </c>
      <c r="IX2" s="30" t="str">
        <f t="shared" ref="IX2" si="261">IF(IX4="Mo",IX1,"")</f>
        <v/>
      </c>
      <c r="IY2" s="30" t="str">
        <f t="shared" ref="IY2" si="262">IF(IY4="Mo",IY1,"")</f>
        <v/>
      </c>
      <c r="IZ2" s="30" t="str">
        <f t="shared" ref="IZ2" si="263">IF(IZ4="Mo",IZ1,"")</f>
        <v/>
      </c>
      <c r="JA2" s="30">
        <f t="shared" ref="JA2" si="264">IF(JA4="Mo",JA1,"")</f>
        <v>38.00000000000005</v>
      </c>
      <c r="JB2" s="30" t="str">
        <f t="shared" ref="JB2" si="265">IF(JB4="Mo",JB1,"")</f>
        <v/>
      </c>
      <c r="JC2" s="30" t="str">
        <f t="shared" ref="JC2" si="266">IF(JC4="Mo",JC1,"")</f>
        <v/>
      </c>
      <c r="JD2" s="30" t="str">
        <f t="shared" ref="JD2" si="267">IF(JD4="Mo",JD1,"")</f>
        <v/>
      </c>
      <c r="JE2" s="30" t="str">
        <f t="shared" ref="JE2" si="268">IF(JE4="Mo",JE1,"")</f>
        <v/>
      </c>
      <c r="JF2" s="30" t="str">
        <f t="shared" ref="JF2" si="269">IF(JF4="Mo",JF1,"")</f>
        <v/>
      </c>
      <c r="JG2" s="30" t="str">
        <f t="shared" ref="JG2" si="270">IF(JG4="Mo",JG1,"")</f>
        <v/>
      </c>
      <c r="JH2" s="30">
        <f t="shared" ref="JH2" si="271">IF(JH4="Mo",JH1,"")</f>
        <v>39.000000000000071</v>
      </c>
      <c r="JI2" s="30" t="str">
        <f t="shared" ref="JI2" si="272">IF(JI4="Mo",JI1,"")</f>
        <v/>
      </c>
      <c r="JJ2" s="30" t="str">
        <f t="shared" ref="JJ2" si="273">IF(JJ4="Mo",JJ1,"")</f>
        <v/>
      </c>
      <c r="JK2" s="30" t="str">
        <f t="shared" ref="JK2" si="274">IF(JK4="Mo",JK1,"")</f>
        <v/>
      </c>
      <c r="JL2" s="30" t="str">
        <f t="shared" ref="JL2" si="275">IF(JL4="Mo",JL1,"")</f>
        <v/>
      </c>
      <c r="JM2" s="30" t="str">
        <f t="shared" ref="JM2" si="276">IF(JM4="Mo",JM1,"")</f>
        <v/>
      </c>
      <c r="JN2" s="30" t="str">
        <f t="shared" ref="JN2" si="277">IF(JN4="Mo",JN1,"")</f>
        <v/>
      </c>
      <c r="JO2" s="30">
        <f t="shared" ref="JO2" si="278">IF(JO4="Mo",JO1,"")</f>
        <v>40.000000000000092</v>
      </c>
      <c r="JP2" s="30" t="str">
        <f t="shared" ref="JP2" si="279">IF(JP4="Mo",JP1,"")</f>
        <v/>
      </c>
      <c r="JQ2" s="30" t="str">
        <f t="shared" ref="JQ2" si="280">IF(JQ4="Mo",JQ1,"")</f>
        <v/>
      </c>
      <c r="JR2" s="30" t="str">
        <f t="shared" ref="JR2" si="281">IF(JR4="Mo",JR1,"")</f>
        <v/>
      </c>
      <c r="JS2" s="30" t="str">
        <f t="shared" ref="JS2" si="282">IF(JS4="Mo",JS1,"")</f>
        <v/>
      </c>
      <c r="JT2" s="30" t="str">
        <f t="shared" ref="JT2" si="283">IF(JT4="Mo",JT1,"")</f>
        <v/>
      </c>
      <c r="JU2" s="30" t="str">
        <f t="shared" ref="JU2" si="284">IF(JU4="Mo",JU1,"")</f>
        <v/>
      </c>
      <c r="JV2" s="30">
        <f t="shared" ref="JV2" si="285">IF(JV4="Mo",JV1,"")</f>
        <v>41.000000000000114</v>
      </c>
      <c r="JW2" s="30" t="str">
        <f t="shared" ref="JW2" si="286">IF(JW4="Mo",JW1,"")</f>
        <v/>
      </c>
      <c r="JX2" s="30" t="str">
        <f t="shared" ref="JX2" si="287">IF(JX4="Mo",JX1,"")</f>
        <v/>
      </c>
      <c r="JY2" s="30" t="str">
        <f t="shared" ref="JY2" si="288">IF(JY4="Mo",JY1,"")</f>
        <v/>
      </c>
      <c r="JZ2" s="30" t="str">
        <f t="shared" ref="JZ2" si="289">IF(JZ4="Mo",JZ1,"")</f>
        <v/>
      </c>
      <c r="KA2" s="30" t="str">
        <f t="shared" ref="KA2" si="290">IF(KA4="Mo",KA1,"")</f>
        <v/>
      </c>
      <c r="KB2" s="30" t="str">
        <f t="shared" ref="KB2" si="291">IF(KB4="Mo",KB1,"")</f>
        <v/>
      </c>
      <c r="KC2" s="30">
        <f t="shared" ref="KC2" si="292">IF(KC4="Mo",KC1,"")</f>
        <v>42.000000000000135</v>
      </c>
      <c r="KD2" s="30" t="str">
        <f t="shared" ref="KD2" si="293">IF(KD4="Mo",KD1,"")</f>
        <v/>
      </c>
      <c r="KE2" s="30" t="str">
        <f t="shared" ref="KE2" si="294">IF(KE4="Mo",KE1,"")</f>
        <v/>
      </c>
      <c r="KF2" s="30" t="str">
        <f t="shared" ref="KF2" si="295">IF(KF4="Mo",KF1,"")</f>
        <v/>
      </c>
      <c r="KG2" s="30" t="str">
        <f t="shared" ref="KG2" si="296">IF(KG4="Mo",KG1,"")</f>
        <v/>
      </c>
      <c r="KH2" s="30" t="str">
        <f t="shared" ref="KH2" si="297">IF(KH4="Mo",KH1,"")</f>
        <v/>
      </c>
      <c r="KI2" s="30" t="str">
        <f t="shared" ref="KI2" si="298">IF(KI4="Mo",KI1,"")</f>
        <v/>
      </c>
      <c r="KJ2" s="30">
        <f t="shared" ref="KJ2" si="299">IF(KJ4="Mo",KJ1,"")</f>
        <v>43.000000000000156</v>
      </c>
      <c r="KK2" s="30" t="str">
        <f t="shared" ref="KK2" si="300">IF(KK4="Mo",KK1,"")</f>
        <v/>
      </c>
      <c r="KL2" s="30" t="str">
        <f t="shared" ref="KL2" si="301">IF(KL4="Mo",KL1,"")</f>
        <v/>
      </c>
      <c r="KM2" s="30" t="str">
        <f t="shared" ref="KM2" si="302">IF(KM4="Mo",KM1,"")</f>
        <v/>
      </c>
      <c r="KN2" s="30" t="str">
        <f t="shared" ref="KN2" si="303">IF(KN4="Mo",KN1,"")</f>
        <v/>
      </c>
      <c r="KO2" s="30" t="str">
        <f t="shared" ref="KO2" si="304">IF(KO4="Mo",KO1,"")</f>
        <v/>
      </c>
      <c r="KP2" s="30" t="str">
        <f t="shared" ref="KP2" si="305">IF(KP4="Mo",KP1,"")</f>
        <v/>
      </c>
      <c r="KQ2" s="30">
        <f t="shared" ref="KQ2" si="306">IF(KQ4="Mo",KQ1,"")</f>
        <v>44.000000000000178</v>
      </c>
      <c r="KR2" s="30" t="str">
        <f t="shared" ref="KR2" si="307">IF(KR4="Mo",KR1,"")</f>
        <v/>
      </c>
      <c r="KS2" s="30" t="str">
        <f t="shared" ref="KS2" si="308">IF(KS4="Mo",KS1,"")</f>
        <v/>
      </c>
      <c r="KT2" s="30" t="str">
        <f t="shared" ref="KT2" si="309">IF(KT4="Mo",KT1,"")</f>
        <v/>
      </c>
      <c r="KU2" s="30" t="str">
        <f t="shared" ref="KU2" si="310">IF(KU4="Mo",KU1,"")</f>
        <v/>
      </c>
      <c r="KV2" s="30" t="str">
        <f t="shared" ref="KV2" si="311">IF(KV4="Mo",KV1,"")</f>
        <v/>
      </c>
      <c r="KW2" s="30" t="str">
        <f t="shared" ref="KW2" si="312">IF(KW4="Mo",KW1,"")</f>
        <v/>
      </c>
      <c r="KX2" s="30">
        <f t="shared" ref="KX2" si="313">IF(KX4="Mo",KX1,"")</f>
        <v>45.000000000000199</v>
      </c>
      <c r="KY2" s="30" t="str">
        <f t="shared" ref="KY2" si="314">IF(KY4="Mo",KY1,"")</f>
        <v/>
      </c>
      <c r="KZ2" s="30" t="str">
        <f t="shared" ref="KZ2" si="315">IF(KZ4="Mo",KZ1,"")</f>
        <v/>
      </c>
      <c r="LA2" s="30" t="str">
        <f t="shared" ref="LA2" si="316">IF(LA4="Mo",LA1,"")</f>
        <v/>
      </c>
      <c r="LB2" s="30" t="str">
        <f t="shared" ref="LB2" si="317">IF(LB4="Mo",LB1,"")</f>
        <v/>
      </c>
      <c r="LC2" s="30" t="str">
        <f t="shared" ref="LC2" si="318">IF(LC4="Mo",LC1,"")</f>
        <v/>
      </c>
      <c r="LD2" s="30" t="str">
        <f t="shared" ref="LD2" si="319">IF(LD4="Mo",LD1,"")</f>
        <v/>
      </c>
      <c r="LE2" s="30">
        <f t="shared" ref="LE2" si="320">IF(LE4="Mo",LE1,"")</f>
        <v>46.00000000000022</v>
      </c>
      <c r="LF2" s="30" t="str">
        <f t="shared" ref="LF2" si="321">IF(LF4="Mo",LF1,"")</f>
        <v/>
      </c>
      <c r="LG2" s="30" t="str">
        <f t="shared" ref="LG2" si="322">IF(LG4="Mo",LG1,"")</f>
        <v/>
      </c>
      <c r="LH2" s="30" t="str">
        <f t="shared" ref="LH2" si="323">IF(LH4="Mo",LH1,"")</f>
        <v/>
      </c>
      <c r="LI2" s="30" t="str">
        <f t="shared" ref="LI2" si="324">IF(LI4="Mo",LI1,"")</f>
        <v/>
      </c>
      <c r="LJ2" s="30" t="str">
        <f t="shared" ref="LJ2" si="325">IF(LJ4="Mo",LJ1,"")</f>
        <v/>
      </c>
      <c r="LK2" s="30" t="str">
        <f t="shared" ref="LK2" si="326">IF(LK4="Mo",LK1,"")</f>
        <v/>
      </c>
      <c r="LL2" s="30">
        <f t="shared" ref="LL2" si="327">IF(LL4="Mo",LL1,"")</f>
        <v>47.000000000000242</v>
      </c>
      <c r="LM2" s="30" t="str">
        <f t="shared" ref="LM2" si="328">IF(LM4="Mo",LM1,"")</f>
        <v/>
      </c>
      <c r="LN2" s="30" t="str">
        <f t="shared" ref="LN2" si="329">IF(LN4="Mo",LN1,"")</f>
        <v/>
      </c>
      <c r="LO2" s="30" t="str">
        <f t="shared" ref="LO2" si="330">IF(LO4="Mo",LO1,"")</f>
        <v/>
      </c>
      <c r="LP2" s="30" t="str">
        <f t="shared" ref="LP2" si="331">IF(LP4="Mo",LP1,"")</f>
        <v/>
      </c>
      <c r="LQ2" s="30" t="str">
        <f t="shared" ref="LQ2" si="332">IF(LQ4="Mo",LQ1,"")</f>
        <v/>
      </c>
      <c r="LR2" s="30" t="str">
        <f t="shared" ref="LR2" si="333">IF(LR4="Mo",LR1,"")</f>
        <v/>
      </c>
      <c r="LS2" s="30">
        <f t="shared" ref="LS2" si="334">IF(LS4="Mo",LS1,"")</f>
        <v>48.000000000000263</v>
      </c>
      <c r="LT2" s="30" t="str">
        <f t="shared" ref="LT2" si="335">IF(LT4="Mo",LT1,"")</f>
        <v/>
      </c>
      <c r="LU2" s="30" t="str">
        <f t="shared" ref="LU2" si="336">IF(LU4="Mo",LU1,"")</f>
        <v/>
      </c>
      <c r="LV2" s="30" t="str">
        <f t="shared" ref="LV2" si="337">IF(LV4="Mo",LV1,"")</f>
        <v/>
      </c>
      <c r="LW2" s="30" t="str">
        <f t="shared" ref="LW2" si="338">IF(LW4="Mo",LW1,"")</f>
        <v/>
      </c>
      <c r="LX2" s="30" t="str">
        <f t="shared" ref="LX2" si="339">IF(LX4="Mo",LX1,"")</f>
        <v/>
      </c>
      <c r="LY2" s="30" t="str">
        <f t="shared" ref="LY2" si="340">IF(LY4="Mo",LY1,"")</f>
        <v/>
      </c>
      <c r="LZ2" s="30">
        <f t="shared" ref="LZ2" si="341">IF(LZ4="Mo",LZ1,"")</f>
        <v>49.000000000000284</v>
      </c>
      <c r="MA2" s="30" t="str">
        <f t="shared" ref="MA2" si="342">IF(MA4="Mo",MA1,"")</f>
        <v/>
      </c>
      <c r="MB2" s="30" t="str">
        <f t="shared" ref="MB2" si="343">IF(MB4="Mo",MB1,"")</f>
        <v/>
      </c>
      <c r="MC2" s="30" t="str">
        <f t="shared" ref="MC2" si="344">IF(MC4="Mo",MC1,"")</f>
        <v/>
      </c>
      <c r="MD2" s="30" t="str">
        <f t="shared" ref="MD2" si="345">IF(MD4="Mo",MD1,"")</f>
        <v/>
      </c>
      <c r="ME2" s="30" t="str">
        <f t="shared" ref="ME2" si="346">IF(ME4="Mo",ME1,"")</f>
        <v/>
      </c>
      <c r="MF2" s="30" t="str">
        <f t="shared" ref="MF2" si="347">IF(MF4="Mo",MF1,"")</f>
        <v/>
      </c>
      <c r="MG2" s="30">
        <f t="shared" ref="MG2" si="348">IF(MG4="Mo",MG1,"")</f>
        <v>50.000000000000306</v>
      </c>
      <c r="MH2" s="30" t="str">
        <f t="shared" ref="MH2" si="349">IF(MH4="Mo",MH1,"")</f>
        <v/>
      </c>
      <c r="MI2" s="30" t="str">
        <f t="shared" ref="MI2" si="350">IF(MI4="Mo",MI1,"")</f>
        <v/>
      </c>
      <c r="MJ2" s="30" t="str">
        <f t="shared" ref="MJ2" si="351">IF(MJ4="Mo",MJ1,"")</f>
        <v/>
      </c>
      <c r="MK2" s="30" t="str">
        <f t="shared" ref="MK2" si="352">IF(MK4="Mo",MK1,"")</f>
        <v/>
      </c>
      <c r="ML2" s="30" t="str">
        <f t="shared" ref="ML2" si="353">IF(ML4="Mo",ML1,"")</f>
        <v/>
      </c>
      <c r="MM2" s="30" t="str">
        <f t="shared" ref="MM2" si="354">IF(MM4="Mo",MM1,"")</f>
        <v/>
      </c>
      <c r="MN2" s="30">
        <f t="shared" ref="MN2" si="355">IF(MN4="Mo",MN1,"")</f>
        <v>51.000000000000327</v>
      </c>
      <c r="MO2" s="30" t="str">
        <f t="shared" ref="MO2" si="356">IF(MO4="Mo",MO1,"")</f>
        <v/>
      </c>
      <c r="MP2" s="30" t="str">
        <f t="shared" ref="MP2" si="357">IF(MP4="Mo",MP1,"")</f>
        <v/>
      </c>
      <c r="MQ2" s="30" t="str">
        <f t="shared" ref="MQ2" si="358">IF(MQ4="Mo",MQ1,"")</f>
        <v/>
      </c>
      <c r="MR2" s="30" t="str">
        <f t="shared" ref="MR2" si="359">IF(MR4="Mo",MR1,"")</f>
        <v/>
      </c>
      <c r="MS2" s="30" t="str">
        <f t="shared" ref="MS2" si="360">IF(MS4="Mo",MS1,"")</f>
        <v/>
      </c>
      <c r="MT2" s="30" t="str">
        <f t="shared" ref="MT2" si="361">IF(MT4="Mo",MT1,"")</f>
        <v/>
      </c>
      <c r="MU2" s="30">
        <f t="shared" ref="MU2" si="362">IF(MU4="Mo",MU1,"")</f>
        <v>52.000000000000348</v>
      </c>
      <c r="MV2" s="30" t="str">
        <f t="shared" ref="MV2" si="363">IF(MV4="Mo",MV1,"")</f>
        <v/>
      </c>
      <c r="MW2" s="30" t="str">
        <f t="shared" ref="MW2" si="364">IF(MW4="Mo",MW1,"")</f>
        <v/>
      </c>
      <c r="MX2" s="30" t="str">
        <f t="shared" ref="MX2" si="365">IF(MX4="Mo",MX1,"")</f>
        <v/>
      </c>
      <c r="MY2" s="30" t="str">
        <f t="shared" ref="MY2" si="366">IF(MY4="Mo",MY1,"")</f>
        <v/>
      </c>
      <c r="MZ2" s="30" t="str">
        <f t="shared" ref="MZ2" si="367">IF(MZ4="Mo",MZ1,"")</f>
        <v/>
      </c>
      <c r="NA2" s="30" t="str">
        <f t="shared" ref="NA2" si="368">IF(NA4="Mo",NA1,"")</f>
        <v/>
      </c>
    </row>
    <row r="3" spans="1:365" x14ac:dyDescent="0.25">
      <c r="A3" s="31" t="s">
        <v>51</v>
      </c>
      <c r="B3" s="32" t="str">
        <f>IF(B4="Mi",WEEKNUM(B5,21),"")</f>
        <v/>
      </c>
      <c r="C3" s="32" t="str">
        <f t="shared" ref="C3" si="369">IF(C4="Mi",WEEKNUM(C5,21),"")</f>
        <v/>
      </c>
      <c r="D3" s="32">
        <f t="shared" ref="D3:BO3" si="370">IF(D4="Mi",WEEKNUM(D5,21),"")</f>
        <v>40</v>
      </c>
      <c r="E3" s="32" t="str">
        <f t="shared" si="370"/>
        <v/>
      </c>
      <c r="F3" s="32" t="str">
        <f t="shared" si="370"/>
        <v/>
      </c>
      <c r="G3" s="32" t="str">
        <f t="shared" si="370"/>
        <v/>
      </c>
      <c r="H3" s="32" t="str">
        <f t="shared" si="370"/>
        <v/>
      </c>
      <c r="I3" s="32" t="str">
        <f t="shared" si="370"/>
        <v/>
      </c>
      <c r="J3" s="32" t="str">
        <f t="shared" si="370"/>
        <v/>
      </c>
      <c r="K3" s="32">
        <f t="shared" si="370"/>
        <v>41</v>
      </c>
      <c r="L3" s="32" t="str">
        <f t="shared" si="370"/>
        <v/>
      </c>
      <c r="M3" s="32" t="str">
        <f t="shared" si="370"/>
        <v/>
      </c>
      <c r="N3" s="32" t="str">
        <f t="shared" si="370"/>
        <v/>
      </c>
      <c r="O3" s="32" t="str">
        <f t="shared" si="370"/>
        <v/>
      </c>
      <c r="P3" s="32" t="str">
        <f t="shared" si="370"/>
        <v/>
      </c>
      <c r="Q3" s="32" t="str">
        <f t="shared" si="370"/>
        <v/>
      </c>
      <c r="R3" s="32">
        <f t="shared" si="370"/>
        <v>42</v>
      </c>
      <c r="S3" s="32" t="str">
        <f t="shared" si="370"/>
        <v/>
      </c>
      <c r="T3" s="32" t="str">
        <f t="shared" si="370"/>
        <v/>
      </c>
      <c r="U3" s="32" t="str">
        <f t="shared" si="370"/>
        <v/>
      </c>
      <c r="V3" s="32" t="str">
        <f t="shared" si="370"/>
        <v/>
      </c>
      <c r="W3" s="32" t="str">
        <f t="shared" si="370"/>
        <v/>
      </c>
      <c r="X3" s="32" t="str">
        <f t="shared" si="370"/>
        <v/>
      </c>
      <c r="Y3" s="32">
        <f t="shared" si="370"/>
        <v>43</v>
      </c>
      <c r="Z3" s="32" t="str">
        <f t="shared" si="370"/>
        <v/>
      </c>
      <c r="AA3" s="32" t="str">
        <f t="shared" si="370"/>
        <v/>
      </c>
      <c r="AB3" s="32" t="str">
        <f t="shared" si="370"/>
        <v/>
      </c>
      <c r="AC3" s="32" t="str">
        <f t="shared" si="370"/>
        <v/>
      </c>
      <c r="AD3" s="32" t="str">
        <f t="shared" si="370"/>
        <v/>
      </c>
      <c r="AE3" s="32" t="str">
        <f t="shared" si="370"/>
        <v/>
      </c>
      <c r="AF3" s="32">
        <f t="shared" si="370"/>
        <v>44</v>
      </c>
      <c r="AG3" s="32" t="str">
        <f t="shared" si="370"/>
        <v/>
      </c>
      <c r="AH3" s="32" t="str">
        <f t="shared" si="370"/>
        <v/>
      </c>
      <c r="AI3" s="32" t="str">
        <f t="shared" si="370"/>
        <v/>
      </c>
      <c r="AJ3" s="32" t="str">
        <f t="shared" si="370"/>
        <v/>
      </c>
      <c r="AK3" s="32" t="str">
        <f t="shared" si="370"/>
        <v/>
      </c>
      <c r="AL3" s="32" t="str">
        <f t="shared" si="370"/>
        <v/>
      </c>
      <c r="AM3" s="32">
        <f t="shared" si="370"/>
        <v>45</v>
      </c>
      <c r="AN3" s="32" t="str">
        <f t="shared" si="370"/>
        <v/>
      </c>
      <c r="AO3" s="32" t="str">
        <f t="shared" si="370"/>
        <v/>
      </c>
      <c r="AP3" s="32" t="str">
        <f t="shared" si="370"/>
        <v/>
      </c>
      <c r="AQ3" s="32" t="str">
        <f t="shared" si="370"/>
        <v/>
      </c>
      <c r="AR3" s="32" t="str">
        <f t="shared" si="370"/>
        <v/>
      </c>
      <c r="AS3" s="32" t="str">
        <f t="shared" si="370"/>
        <v/>
      </c>
      <c r="AT3" s="32">
        <f t="shared" si="370"/>
        <v>46</v>
      </c>
      <c r="AU3" s="32" t="str">
        <f t="shared" si="370"/>
        <v/>
      </c>
      <c r="AV3" s="32" t="str">
        <f t="shared" si="370"/>
        <v/>
      </c>
      <c r="AW3" s="32" t="str">
        <f t="shared" si="370"/>
        <v/>
      </c>
      <c r="AX3" s="32" t="str">
        <f t="shared" si="370"/>
        <v/>
      </c>
      <c r="AY3" s="32" t="str">
        <f t="shared" si="370"/>
        <v/>
      </c>
      <c r="AZ3" s="32" t="str">
        <f t="shared" si="370"/>
        <v/>
      </c>
      <c r="BA3" s="32">
        <f t="shared" si="370"/>
        <v>47</v>
      </c>
      <c r="BB3" s="32" t="str">
        <f t="shared" si="370"/>
        <v/>
      </c>
      <c r="BC3" s="32" t="str">
        <f t="shared" si="370"/>
        <v/>
      </c>
      <c r="BD3" s="32" t="str">
        <f t="shared" si="370"/>
        <v/>
      </c>
      <c r="BE3" s="32" t="str">
        <f t="shared" si="370"/>
        <v/>
      </c>
      <c r="BF3" s="32" t="str">
        <f t="shared" si="370"/>
        <v/>
      </c>
      <c r="BG3" s="32" t="str">
        <f t="shared" si="370"/>
        <v/>
      </c>
      <c r="BH3" s="32">
        <f t="shared" si="370"/>
        <v>48</v>
      </c>
      <c r="BI3" s="32" t="str">
        <f t="shared" si="370"/>
        <v/>
      </c>
      <c r="BJ3" s="32" t="str">
        <f t="shared" si="370"/>
        <v/>
      </c>
      <c r="BK3" s="32" t="str">
        <f t="shared" si="370"/>
        <v/>
      </c>
      <c r="BL3" s="32" t="str">
        <f t="shared" si="370"/>
        <v/>
      </c>
      <c r="BM3" s="32" t="str">
        <f t="shared" si="370"/>
        <v/>
      </c>
      <c r="BN3" s="32" t="str">
        <f t="shared" si="370"/>
        <v/>
      </c>
      <c r="BO3" s="32">
        <f t="shared" si="370"/>
        <v>49</v>
      </c>
      <c r="BP3" s="32" t="str">
        <f t="shared" ref="BP3:EA3" si="371">IF(BP4="Mi",WEEKNUM(BP5,21),"")</f>
        <v/>
      </c>
      <c r="BQ3" s="32" t="str">
        <f t="shared" si="371"/>
        <v/>
      </c>
      <c r="BR3" s="32" t="str">
        <f t="shared" si="371"/>
        <v/>
      </c>
      <c r="BS3" s="32" t="str">
        <f t="shared" si="371"/>
        <v/>
      </c>
      <c r="BT3" s="32" t="str">
        <f t="shared" si="371"/>
        <v/>
      </c>
      <c r="BU3" s="32" t="str">
        <f t="shared" si="371"/>
        <v/>
      </c>
      <c r="BV3" s="32">
        <f t="shared" si="371"/>
        <v>50</v>
      </c>
      <c r="BW3" s="32" t="str">
        <f t="shared" si="371"/>
        <v/>
      </c>
      <c r="BX3" s="32" t="str">
        <f t="shared" si="371"/>
        <v/>
      </c>
      <c r="BY3" s="32" t="str">
        <f t="shared" si="371"/>
        <v/>
      </c>
      <c r="BZ3" s="32" t="str">
        <f t="shared" si="371"/>
        <v/>
      </c>
      <c r="CA3" s="32" t="str">
        <f t="shared" si="371"/>
        <v/>
      </c>
      <c r="CB3" s="32" t="str">
        <f t="shared" si="371"/>
        <v/>
      </c>
      <c r="CC3" s="32">
        <f t="shared" si="371"/>
        <v>51</v>
      </c>
      <c r="CD3" s="32" t="str">
        <f t="shared" si="371"/>
        <v/>
      </c>
      <c r="CE3" s="32" t="str">
        <f t="shared" si="371"/>
        <v/>
      </c>
      <c r="CF3" s="32" t="str">
        <f t="shared" si="371"/>
        <v/>
      </c>
      <c r="CG3" s="32" t="str">
        <f t="shared" si="371"/>
        <v/>
      </c>
      <c r="CH3" s="32" t="str">
        <f t="shared" si="371"/>
        <v/>
      </c>
      <c r="CI3" s="32" t="str">
        <f t="shared" si="371"/>
        <v/>
      </c>
      <c r="CJ3" s="32">
        <f t="shared" si="371"/>
        <v>52</v>
      </c>
      <c r="CK3" s="32" t="str">
        <f t="shared" si="371"/>
        <v/>
      </c>
      <c r="CL3" s="32" t="str">
        <f t="shared" si="371"/>
        <v/>
      </c>
      <c r="CM3" s="32" t="str">
        <f t="shared" si="371"/>
        <v/>
      </c>
      <c r="CN3" s="32" t="str">
        <f t="shared" si="371"/>
        <v/>
      </c>
      <c r="CO3" s="32" t="str">
        <f t="shared" si="371"/>
        <v/>
      </c>
      <c r="CP3" s="32" t="str">
        <f t="shared" si="371"/>
        <v/>
      </c>
      <c r="CQ3" s="32">
        <f t="shared" si="371"/>
        <v>1</v>
      </c>
      <c r="CR3" s="32" t="str">
        <f t="shared" si="371"/>
        <v/>
      </c>
      <c r="CS3" s="32" t="str">
        <f t="shared" si="371"/>
        <v/>
      </c>
      <c r="CT3" s="32" t="str">
        <f t="shared" si="371"/>
        <v/>
      </c>
      <c r="CU3" s="32" t="str">
        <f t="shared" si="371"/>
        <v/>
      </c>
      <c r="CV3" s="32" t="str">
        <f t="shared" si="371"/>
        <v/>
      </c>
      <c r="CW3" s="32" t="str">
        <f t="shared" si="371"/>
        <v/>
      </c>
      <c r="CX3" s="32">
        <f t="shared" si="371"/>
        <v>2</v>
      </c>
      <c r="CY3" s="32" t="str">
        <f t="shared" si="371"/>
        <v/>
      </c>
      <c r="CZ3" s="32" t="str">
        <f t="shared" si="371"/>
        <v/>
      </c>
      <c r="DA3" s="32" t="str">
        <f t="shared" si="371"/>
        <v/>
      </c>
      <c r="DB3" s="32" t="str">
        <f t="shared" si="371"/>
        <v/>
      </c>
      <c r="DC3" s="32" t="str">
        <f t="shared" si="371"/>
        <v/>
      </c>
      <c r="DD3" s="32" t="str">
        <f t="shared" si="371"/>
        <v/>
      </c>
      <c r="DE3" s="32">
        <f t="shared" si="371"/>
        <v>3</v>
      </c>
      <c r="DF3" s="32" t="str">
        <f t="shared" si="371"/>
        <v/>
      </c>
      <c r="DG3" s="32" t="str">
        <f t="shared" si="371"/>
        <v/>
      </c>
      <c r="DH3" s="32" t="str">
        <f t="shared" si="371"/>
        <v/>
      </c>
      <c r="DI3" s="32" t="str">
        <f t="shared" si="371"/>
        <v/>
      </c>
      <c r="DJ3" s="32" t="str">
        <f t="shared" si="371"/>
        <v/>
      </c>
      <c r="DK3" s="32" t="str">
        <f t="shared" si="371"/>
        <v/>
      </c>
      <c r="DL3" s="32">
        <f t="shared" si="371"/>
        <v>4</v>
      </c>
      <c r="DM3" s="32" t="str">
        <f t="shared" si="371"/>
        <v/>
      </c>
      <c r="DN3" s="32" t="str">
        <f t="shared" si="371"/>
        <v/>
      </c>
      <c r="DO3" s="32" t="str">
        <f t="shared" si="371"/>
        <v/>
      </c>
      <c r="DP3" s="32" t="str">
        <f t="shared" si="371"/>
        <v/>
      </c>
      <c r="DQ3" s="32" t="str">
        <f t="shared" si="371"/>
        <v/>
      </c>
      <c r="DR3" s="32" t="str">
        <f t="shared" si="371"/>
        <v/>
      </c>
      <c r="DS3" s="32">
        <f t="shared" si="371"/>
        <v>5</v>
      </c>
      <c r="DT3" s="32" t="str">
        <f t="shared" si="371"/>
        <v/>
      </c>
      <c r="DU3" s="32" t="str">
        <f t="shared" si="371"/>
        <v/>
      </c>
      <c r="DV3" s="32" t="str">
        <f t="shared" si="371"/>
        <v/>
      </c>
      <c r="DW3" s="32" t="str">
        <f t="shared" si="371"/>
        <v/>
      </c>
      <c r="DX3" s="32" t="str">
        <f t="shared" si="371"/>
        <v/>
      </c>
      <c r="DY3" s="32" t="str">
        <f t="shared" si="371"/>
        <v/>
      </c>
      <c r="DZ3" s="32">
        <f t="shared" si="371"/>
        <v>6</v>
      </c>
      <c r="EA3" s="32" t="str">
        <f t="shared" si="371"/>
        <v/>
      </c>
      <c r="EB3" s="32" t="str">
        <f t="shared" ref="EB3:GM3" si="372">IF(EB4="Mi",WEEKNUM(EB5,21),"")</f>
        <v/>
      </c>
      <c r="EC3" s="32" t="str">
        <f t="shared" si="372"/>
        <v/>
      </c>
      <c r="ED3" s="32" t="str">
        <f t="shared" si="372"/>
        <v/>
      </c>
      <c r="EE3" s="32" t="str">
        <f t="shared" si="372"/>
        <v/>
      </c>
      <c r="EF3" s="32" t="str">
        <f t="shared" si="372"/>
        <v/>
      </c>
      <c r="EG3" s="32">
        <f t="shared" si="372"/>
        <v>7</v>
      </c>
      <c r="EH3" s="32" t="str">
        <f t="shared" si="372"/>
        <v/>
      </c>
      <c r="EI3" s="32" t="str">
        <f t="shared" si="372"/>
        <v/>
      </c>
      <c r="EJ3" s="32" t="str">
        <f t="shared" si="372"/>
        <v/>
      </c>
      <c r="EK3" s="32" t="str">
        <f t="shared" si="372"/>
        <v/>
      </c>
      <c r="EL3" s="32" t="str">
        <f t="shared" si="372"/>
        <v/>
      </c>
      <c r="EM3" s="32" t="str">
        <f t="shared" si="372"/>
        <v/>
      </c>
      <c r="EN3" s="32">
        <f t="shared" si="372"/>
        <v>8</v>
      </c>
      <c r="EO3" s="32" t="str">
        <f t="shared" si="372"/>
        <v/>
      </c>
      <c r="EP3" s="32" t="str">
        <f t="shared" si="372"/>
        <v/>
      </c>
      <c r="EQ3" s="32" t="str">
        <f t="shared" si="372"/>
        <v/>
      </c>
      <c r="ER3" s="32" t="str">
        <f t="shared" si="372"/>
        <v/>
      </c>
      <c r="ES3" s="32" t="str">
        <f t="shared" si="372"/>
        <v/>
      </c>
      <c r="ET3" s="32" t="str">
        <f t="shared" si="372"/>
        <v/>
      </c>
      <c r="EU3" s="32">
        <f t="shared" si="372"/>
        <v>9</v>
      </c>
      <c r="EV3" s="32" t="str">
        <f t="shared" si="372"/>
        <v/>
      </c>
      <c r="EW3" s="32" t="str">
        <f t="shared" si="372"/>
        <v/>
      </c>
      <c r="EX3" s="32" t="str">
        <f t="shared" si="372"/>
        <v/>
      </c>
      <c r="EY3" s="32" t="str">
        <f t="shared" si="372"/>
        <v/>
      </c>
      <c r="EZ3" s="32" t="str">
        <f t="shared" si="372"/>
        <v/>
      </c>
      <c r="FA3" s="32" t="str">
        <f t="shared" si="372"/>
        <v/>
      </c>
      <c r="FB3" s="32">
        <f t="shared" si="372"/>
        <v>10</v>
      </c>
      <c r="FC3" s="32" t="str">
        <f t="shared" si="372"/>
        <v/>
      </c>
      <c r="FD3" s="32" t="str">
        <f t="shared" si="372"/>
        <v/>
      </c>
      <c r="FE3" s="32" t="str">
        <f t="shared" si="372"/>
        <v/>
      </c>
      <c r="FF3" s="32" t="str">
        <f t="shared" si="372"/>
        <v/>
      </c>
      <c r="FG3" s="32" t="str">
        <f t="shared" si="372"/>
        <v/>
      </c>
      <c r="FH3" s="32" t="str">
        <f t="shared" si="372"/>
        <v/>
      </c>
      <c r="FI3" s="32">
        <f t="shared" si="372"/>
        <v>11</v>
      </c>
      <c r="FJ3" s="32" t="str">
        <f t="shared" si="372"/>
        <v/>
      </c>
      <c r="FK3" s="32" t="str">
        <f t="shared" si="372"/>
        <v/>
      </c>
      <c r="FL3" s="32" t="str">
        <f t="shared" si="372"/>
        <v/>
      </c>
      <c r="FM3" s="32" t="str">
        <f t="shared" si="372"/>
        <v/>
      </c>
      <c r="FN3" s="32" t="str">
        <f t="shared" si="372"/>
        <v/>
      </c>
      <c r="FO3" s="32" t="str">
        <f t="shared" si="372"/>
        <v/>
      </c>
      <c r="FP3" s="32">
        <f t="shared" si="372"/>
        <v>12</v>
      </c>
      <c r="FQ3" s="32" t="str">
        <f t="shared" si="372"/>
        <v/>
      </c>
      <c r="FR3" s="32" t="str">
        <f t="shared" si="372"/>
        <v/>
      </c>
      <c r="FS3" s="32" t="str">
        <f t="shared" si="372"/>
        <v/>
      </c>
      <c r="FT3" s="32" t="str">
        <f t="shared" si="372"/>
        <v/>
      </c>
      <c r="FU3" s="32" t="str">
        <f t="shared" si="372"/>
        <v/>
      </c>
      <c r="FV3" s="32" t="str">
        <f t="shared" si="372"/>
        <v/>
      </c>
      <c r="FW3" s="32">
        <f t="shared" si="372"/>
        <v>13</v>
      </c>
      <c r="FX3" s="32" t="str">
        <f t="shared" si="372"/>
        <v/>
      </c>
      <c r="FY3" s="32" t="str">
        <f t="shared" si="372"/>
        <v/>
      </c>
      <c r="FZ3" s="32" t="str">
        <f t="shared" si="372"/>
        <v/>
      </c>
      <c r="GA3" s="32" t="str">
        <f t="shared" si="372"/>
        <v/>
      </c>
      <c r="GB3" s="32" t="str">
        <f t="shared" si="372"/>
        <v/>
      </c>
      <c r="GC3" s="32" t="str">
        <f t="shared" si="372"/>
        <v/>
      </c>
      <c r="GD3" s="32">
        <f t="shared" si="372"/>
        <v>14</v>
      </c>
      <c r="GE3" s="32" t="str">
        <f t="shared" si="372"/>
        <v/>
      </c>
      <c r="GF3" s="32" t="str">
        <f t="shared" si="372"/>
        <v/>
      </c>
      <c r="GG3" s="32" t="str">
        <f t="shared" si="372"/>
        <v/>
      </c>
      <c r="GH3" s="32" t="str">
        <f t="shared" si="372"/>
        <v/>
      </c>
      <c r="GI3" s="32" t="str">
        <f t="shared" si="372"/>
        <v/>
      </c>
      <c r="GJ3" s="32" t="str">
        <f t="shared" si="372"/>
        <v/>
      </c>
      <c r="GK3" s="32">
        <f t="shared" si="372"/>
        <v>15</v>
      </c>
      <c r="GL3" s="32" t="str">
        <f t="shared" si="372"/>
        <v/>
      </c>
      <c r="GM3" s="32" t="str">
        <f t="shared" si="372"/>
        <v/>
      </c>
      <c r="GN3" s="32" t="str">
        <f t="shared" ref="GN3:IY3" si="373">IF(GN4="Mi",WEEKNUM(GN5,21),"")</f>
        <v/>
      </c>
      <c r="GO3" s="32" t="str">
        <f t="shared" si="373"/>
        <v/>
      </c>
      <c r="GP3" s="32" t="str">
        <f t="shared" si="373"/>
        <v/>
      </c>
      <c r="GQ3" s="32" t="str">
        <f t="shared" si="373"/>
        <v/>
      </c>
      <c r="GR3" s="32">
        <f t="shared" si="373"/>
        <v>16</v>
      </c>
      <c r="GS3" s="32" t="str">
        <f t="shared" si="373"/>
        <v/>
      </c>
      <c r="GT3" s="32" t="str">
        <f t="shared" si="373"/>
        <v/>
      </c>
      <c r="GU3" s="32" t="str">
        <f t="shared" si="373"/>
        <v/>
      </c>
      <c r="GV3" s="32" t="str">
        <f t="shared" si="373"/>
        <v/>
      </c>
      <c r="GW3" s="32" t="str">
        <f t="shared" si="373"/>
        <v/>
      </c>
      <c r="GX3" s="32" t="str">
        <f t="shared" si="373"/>
        <v/>
      </c>
      <c r="GY3" s="32">
        <f t="shared" si="373"/>
        <v>17</v>
      </c>
      <c r="GZ3" s="32" t="str">
        <f t="shared" si="373"/>
        <v/>
      </c>
      <c r="HA3" s="32" t="str">
        <f t="shared" si="373"/>
        <v/>
      </c>
      <c r="HB3" s="32" t="str">
        <f t="shared" si="373"/>
        <v/>
      </c>
      <c r="HC3" s="32" t="str">
        <f t="shared" si="373"/>
        <v/>
      </c>
      <c r="HD3" s="32" t="str">
        <f t="shared" si="373"/>
        <v/>
      </c>
      <c r="HE3" s="32" t="str">
        <f t="shared" si="373"/>
        <v/>
      </c>
      <c r="HF3" s="32">
        <f t="shared" si="373"/>
        <v>18</v>
      </c>
      <c r="HG3" s="32" t="str">
        <f t="shared" si="373"/>
        <v/>
      </c>
      <c r="HH3" s="32" t="str">
        <f t="shared" si="373"/>
        <v/>
      </c>
      <c r="HI3" s="32" t="str">
        <f t="shared" si="373"/>
        <v/>
      </c>
      <c r="HJ3" s="32" t="str">
        <f t="shared" si="373"/>
        <v/>
      </c>
      <c r="HK3" s="32" t="str">
        <f t="shared" si="373"/>
        <v/>
      </c>
      <c r="HL3" s="32" t="str">
        <f t="shared" si="373"/>
        <v/>
      </c>
      <c r="HM3" s="32">
        <f t="shared" si="373"/>
        <v>19</v>
      </c>
      <c r="HN3" s="32" t="str">
        <f t="shared" si="373"/>
        <v/>
      </c>
      <c r="HO3" s="32" t="str">
        <f t="shared" si="373"/>
        <v/>
      </c>
      <c r="HP3" s="32" t="str">
        <f t="shared" si="373"/>
        <v/>
      </c>
      <c r="HQ3" s="32" t="str">
        <f t="shared" si="373"/>
        <v/>
      </c>
      <c r="HR3" s="32" t="str">
        <f t="shared" si="373"/>
        <v/>
      </c>
      <c r="HS3" s="32" t="str">
        <f t="shared" si="373"/>
        <v/>
      </c>
      <c r="HT3" s="32">
        <f t="shared" si="373"/>
        <v>20</v>
      </c>
      <c r="HU3" s="32" t="str">
        <f t="shared" si="373"/>
        <v/>
      </c>
      <c r="HV3" s="32" t="str">
        <f t="shared" si="373"/>
        <v/>
      </c>
      <c r="HW3" s="32" t="str">
        <f t="shared" si="373"/>
        <v/>
      </c>
      <c r="HX3" s="32" t="str">
        <f t="shared" si="373"/>
        <v/>
      </c>
      <c r="HY3" s="32" t="str">
        <f t="shared" si="373"/>
        <v/>
      </c>
      <c r="HZ3" s="32" t="str">
        <f t="shared" si="373"/>
        <v/>
      </c>
      <c r="IA3" s="32">
        <f t="shared" si="373"/>
        <v>21</v>
      </c>
      <c r="IB3" s="32" t="str">
        <f t="shared" si="373"/>
        <v/>
      </c>
      <c r="IC3" s="32" t="str">
        <f t="shared" si="373"/>
        <v/>
      </c>
      <c r="ID3" s="32" t="str">
        <f t="shared" si="373"/>
        <v/>
      </c>
      <c r="IE3" s="32" t="str">
        <f t="shared" si="373"/>
        <v/>
      </c>
      <c r="IF3" s="32" t="str">
        <f t="shared" si="373"/>
        <v/>
      </c>
      <c r="IG3" s="32" t="str">
        <f t="shared" si="373"/>
        <v/>
      </c>
      <c r="IH3" s="32">
        <f t="shared" si="373"/>
        <v>22</v>
      </c>
      <c r="II3" s="32" t="str">
        <f t="shared" si="373"/>
        <v/>
      </c>
      <c r="IJ3" s="32" t="str">
        <f t="shared" si="373"/>
        <v/>
      </c>
      <c r="IK3" s="32" t="str">
        <f t="shared" si="373"/>
        <v/>
      </c>
      <c r="IL3" s="32" t="str">
        <f t="shared" si="373"/>
        <v/>
      </c>
      <c r="IM3" s="32" t="str">
        <f t="shared" si="373"/>
        <v/>
      </c>
      <c r="IN3" s="32" t="str">
        <f t="shared" si="373"/>
        <v/>
      </c>
      <c r="IO3" s="32">
        <f t="shared" si="373"/>
        <v>23</v>
      </c>
      <c r="IP3" s="32" t="str">
        <f t="shared" si="373"/>
        <v/>
      </c>
      <c r="IQ3" s="32" t="str">
        <f t="shared" si="373"/>
        <v/>
      </c>
      <c r="IR3" s="32" t="str">
        <f t="shared" si="373"/>
        <v/>
      </c>
      <c r="IS3" s="32" t="str">
        <f t="shared" si="373"/>
        <v/>
      </c>
      <c r="IT3" s="32" t="str">
        <f t="shared" si="373"/>
        <v/>
      </c>
      <c r="IU3" s="32" t="str">
        <f t="shared" si="373"/>
        <v/>
      </c>
      <c r="IV3" s="32">
        <f t="shared" si="373"/>
        <v>24</v>
      </c>
      <c r="IW3" s="32" t="str">
        <f t="shared" si="373"/>
        <v/>
      </c>
      <c r="IX3" s="32" t="str">
        <f t="shared" si="373"/>
        <v/>
      </c>
      <c r="IY3" s="32" t="str">
        <f t="shared" si="373"/>
        <v/>
      </c>
      <c r="IZ3" s="32" t="str">
        <f t="shared" ref="IZ3:LK3" si="374">IF(IZ4="Mi",WEEKNUM(IZ5,21),"")</f>
        <v/>
      </c>
      <c r="JA3" s="32" t="str">
        <f t="shared" si="374"/>
        <v/>
      </c>
      <c r="JB3" s="32" t="str">
        <f t="shared" si="374"/>
        <v/>
      </c>
      <c r="JC3" s="32">
        <f t="shared" si="374"/>
        <v>25</v>
      </c>
      <c r="JD3" s="32" t="str">
        <f t="shared" si="374"/>
        <v/>
      </c>
      <c r="JE3" s="32" t="str">
        <f t="shared" si="374"/>
        <v/>
      </c>
      <c r="JF3" s="32" t="str">
        <f t="shared" si="374"/>
        <v/>
      </c>
      <c r="JG3" s="32" t="str">
        <f t="shared" si="374"/>
        <v/>
      </c>
      <c r="JH3" s="32" t="str">
        <f t="shared" si="374"/>
        <v/>
      </c>
      <c r="JI3" s="32" t="str">
        <f t="shared" si="374"/>
        <v/>
      </c>
      <c r="JJ3" s="32">
        <f t="shared" si="374"/>
        <v>26</v>
      </c>
      <c r="JK3" s="32" t="str">
        <f t="shared" si="374"/>
        <v/>
      </c>
      <c r="JL3" s="32" t="str">
        <f t="shared" si="374"/>
        <v/>
      </c>
      <c r="JM3" s="32" t="str">
        <f t="shared" si="374"/>
        <v/>
      </c>
      <c r="JN3" s="32" t="str">
        <f t="shared" si="374"/>
        <v/>
      </c>
      <c r="JO3" s="32" t="str">
        <f t="shared" si="374"/>
        <v/>
      </c>
      <c r="JP3" s="32" t="str">
        <f t="shared" si="374"/>
        <v/>
      </c>
      <c r="JQ3" s="32">
        <f t="shared" si="374"/>
        <v>27</v>
      </c>
      <c r="JR3" s="32" t="str">
        <f t="shared" si="374"/>
        <v/>
      </c>
      <c r="JS3" s="32" t="str">
        <f t="shared" si="374"/>
        <v/>
      </c>
      <c r="JT3" s="32" t="str">
        <f t="shared" si="374"/>
        <v/>
      </c>
      <c r="JU3" s="32" t="str">
        <f t="shared" si="374"/>
        <v/>
      </c>
      <c r="JV3" s="32" t="str">
        <f t="shared" si="374"/>
        <v/>
      </c>
      <c r="JW3" s="32" t="str">
        <f t="shared" si="374"/>
        <v/>
      </c>
      <c r="JX3" s="32">
        <f t="shared" si="374"/>
        <v>28</v>
      </c>
      <c r="JY3" s="32" t="str">
        <f t="shared" si="374"/>
        <v/>
      </c>
      <c r="JZ3" s="32" t="str">
        <f t="shared" si="374"/>
        <v/>
      </c>
      <c r="KA3" s="32" t="str">
        <f t="shared" si="374"/>
        <v/>
      </c>
      <c r="KB3" s="32" t="str">
        <f t="shared" si="374"/>
        <v/>
      </c>
      <c r="KC3" s="32" t="str">
        <f t="shared" si="374"/>
        <v/>
      </c>
      <c r="KD3" s="32" t="str">
        <f t="shared" si="374"/>
        <v/>
      </c>
      <c r="KE3" s="32">
        <f t="shared" si="374"/>
        <v>29</v>
      </c>
      <c r="KF3" s="32" t="str">
        <f t="shared" si="374"/>
        <v/>
      </c>
      <c r="KG3" s="32" t="str">
        <f t="shared" si="374"/>
        <v/>
      </c>
      <c r="KH3" s="32" t="str">
        <f t="shared" si="374"/>
        <v/>
      </c>
      <c r="KI3" s="32" t="str">
        <f t="shared" si="374"/>
        <v/>
      </c>
      <c r="KJ3" s="32" t="str">
        <f t="shared" si="374"/>
        <v/>
      </c>
      <c r="KK3" s="32" t="str">
        <f t="shared" si="374"/>
        <v/>
      </c>
      <c r="KL3" s="32">
        <f t="shared" si="374"/>
        <v>30</v>
      </c>
      <c r="KM3" s="32" t="str">
        <f t="shared" si="374"/>
        <v/>
      </c>
      <c r="KN3" s="32" t="str">
        <f t="shared" si="374"/>
        <v/>
      </c>
      <c r="KO3" s="32" t="str">
        <f t="shared" si="374"/>
        <v/>
      </c>
      <c r="KP3" s="32" t="str">
        <f t="shared" si="374"/>
        <v/>
      </c>
      <c r="KQ3" s="32" t="str">
        <f t="shared" si="374"/>
        <v/>
      </c>
      <c r="KR3" s="32" t="str">
        <f t="shared" si="374"/>
        <v/>
      </c>
      <c r="KS3" s="32">
        <f t="shared" si="374"/>
        <v>31</v>
      </c>
      <c r="KT3" s="32" t="str">
        <f t="shared" si="374"/>
        <v/>
      </c>
      <c r="KU3" s="32" t="str">
        <f t="shared" si="374"/>
        <v/>
      </c>
      <c r="KV3" s="32" t="str">
        <f t="shared" si="374"/>
        <v/>
      </c>
      <c r="KW3" s="32" t="str">
        <f t="shared" si="374"/>
        <v/>
      </c>
      <c r="KX3" s="32" t="str">
        <f t="shared" si="374"/>
        <v/>
      </c>
      <c r="KY3" s="32" t="str">
        <f t="shared" si="374"/>
        <v/>
      </c>
      <c r="KZ3" s="32">
        <f t="shared" si="374"/>
        <v>32</v>
      </c>
      <c r="LA3" s="32" t="str">
        <f t="shared" si="374"/>
        <v/>
      </c>
      <c r="LB3" s="32" t="str">
        <f t="shared" si="374"/>
        <v/>
      </c>
      <c r="LC3" s="32" t="str">
        <f t="shared" si="374"/>
        <v/>
      </c>
      <c r="LD3" s="32" t="str">
        <f t="shared" si="374"/>
        <v/>
      </c>
      <c r="LE3" s="32" t="str">
        <f t="shared" si="374"/>
        <v/>
      </c>
      <c r="LF3" s="32" t="str">
        <f t="shared" si="374"/>
        <v/>
      </c>
      <c r="LG3" s="32">
        <f t="shared" si="374"/>
        <v>33</v>
      </c>
      <c r="LH3" s="32" t="str">
        <f t="shared" si="374"/>
        <v/>
      </c>
      <c r="LI3" s="32" t="str">
        <f t="shared" si="374"/>
        <v/>
      </c>
      <c r="LJ3" s="32" t="str">
        <f t="shared" si="374"/>
        <v/>
      </c>
      <c r="LK3" s="32" t="str">
        <f t="shared" si="374"/>
        <v/>
      </c>
      <c r="LL3" s="32" t="str">
        <f t="shared" ref="LL3:NA3" si="375">IF(LL4="Mi",WEEKNUM(LL5,21),"")</f>
        <v/>
      </c>
      <c r="LM3" s="32" t="str">
        <f t="shared" si="375"/>
        <v/>
      </c>
      <c r="LN3" s="32">
        <f t="shared" si="375"/>
        <v>34</v>
      </c>
      <c r="LO3" s="32" t="str">
        <f t="shared" si="375"/>
        <v/>
      </c>
      <c r="LP3" s="32" t="str">
        <f t="shared" si="375"/>
        <v/>
      </c>
      <c r="LQ3" s="32" t="str">
        <f t="shared" si="375"/>
        <v/>
      </c>
      <c r="LR3" s="32" t="str">
        <f t="shared" si="375"/>
        <v/>
      </c>
      <c r="LS3" s="32" t="str">
        <f t="shared" si="375"/>
        <v/>
      </c>
      <c r="LT3" s="32" t="str">
        <f t="shared" si="375"/>
        <v/>
      </c>
      <c r="LU3" s="32">
        <f t="shared" si="375"/>
        <v>35</v>
      </c>
      <c r="LV3" s="32" t="str">
        <f t="shared" si="375"/>
        <v/>
      </c>
      <c r="LW3" s="32" t="str">
        <f t="shared" si="375"/>
        <v/>
      </c>
      <c r="LX3" s="32" t="str">
        <f t="shared" si="375"/>
        <v/>
      </c>
      <c r="LY3" s="32" t="str">
        <f t="shared" si="375"/>
        <v/>
      </c>
      <c r="LZ3" s="32" t="str">
        <f t="shared" si="375"/>
        <v/>
      </c>
      <c r="MA3" s="32" t="str">
        <f t="shared" si="375"/>
        <v/>
      </c>
      <c r="MB3" s="32">
        <f t="shared" si="375"/>
        <v>36</v>
      </c>
      <c r="MC3" s="32" t="str">
        <f t="shared" si="375"/>
        <v/>
      </c>
      <c r="MD3" s="32" t="str">
        <f t="shared" si="375"/>
        <v/>
      </c>
      <c r="ME3" s="32" t="str">
        <f t="shared" si="375"/>
        <v/>
      </c>
      <c r="MF3" s="32" t="str">
        <f t="shared" si="375"/>
        <v/>
      </c>
      <c r="MG3" s="32" t="str">
        <f t="shared" si="375"/>
        <v/>
      </c>
      <c r="MH3" s="32" t="str">
        <f t="shared" si="375"/>
        <v/>
      </c>
      <c r="MI3" s="32">
        <f t="shared" si="375"/>
        <v>37</v>
      </c>
      <c r="MJ3" s="32" t="str">
        <f t="shared" si="375"/>
        <v/>
      </c>
      <c r="MK3" s="32" t="str">
        <f t="shared" si="375"/>
        <v/>
      </c>
      <c r="ML3" s="32" t="str">
        <f t="shared" si="375"/>
        <v/>
      </c>
      <c r="MM3" s="32" t="str">
        <f t="shared" si="375"/>
        <v/>
      </c>
      <c r="MN3" s="32" t="str">
        <f t="shared" si="375"/>
        <v/>
      </c>
      <c r="MO3" s="32" t="str">
        <f t="shared" si="375"/>
        <v/>
      </c>
      <c r="MP3" s="32">
        <f t="shared" si="375"/>
        <v>38</v>
      </c>
      <c r="MQ3" s="32" t="str">
        <f t="shared" si="375"/>
        <v/>
      </c>
      <c r="MR3" s="32" t="str">
        <f t="shared" si="375"/>
        <v/>
      </c>
      <c r="MS3" s="32" t="str">
        <f t="shared" si="375"/>
        <v/>
      </c>
      <c r="MT3" s="32" t="str">
        <f t="shared" si="375"/>
        <v/>
      </c>
      <c r="MU3" s="32" t="str">
        <f t="shared" si="375"/>
        <v/>
      </c>
      <c r="MV3" s="32" t="str">
        <f t="shared" si="375"/>
        <v/>
      </c>
      <c r="MW3" s="32">
        <f t="shared" si="375"/>
        <v>39</v>
      </c>
      <c r="MX3" s="32" t="str">
        <f t="shared" si="375"/>
        <v/>
      </c>
      <c r="MY3" s="32" t="str">
        <f t="shared" si="375"/>
        <v/>
      </c>
      <c r="MZ3" s="32" t="str">
        <f t="shared" si="375"/>
        <v/>
      </c>
      <c r="NA3" s="32" t="str">
        <f t="shared" si="375"/>
        <v/>
      </c>
    </row>
    <row r="4" spans="1:365" x14ac:dyDescent="0.25">
      <c r="A4" s="31" t="s">
        <v>52</v>
      </c>
      <c r="B4" s="35" t="str">
        <f t="shared" ref="B4:BM4" si="376">TEXT(B5,"TTT")</f>
        <v>Mo</v>
      </c>
      <c r="C4" s="35" t="str">
        <f t="shared" si="376"/>
        <v>Di</v>
      </c>
      <c r="D4" s="35" t="str">
        <f t="shared" si="376"/>
        <v>Mi</v>
      </c>
      <c r="E4" s="35" t="str">
        <f t="shared" si="376"/>
        <v>Do</v>
      </c>
      <c r="F4" s="35" t="str">
        <f t="shared" si="376"/>
        <v>Fr</v>
      </c>
      <c r="G4" s="35" t="str">
        <f t="shared" si="376"/>
        <v>Sa</v>
      </c>
      <c r="H4" s="35" t="str">
        <f t="shared" si="376"/>
        <v>So</v>
      </c>
      <c r="I4" s="35" t="str">
        <f t="shared" si="376"/>
        <v>Mo</v>
      </c>
      <c r="J4" s="35" t="str">
        <f t="shared" si="376"/>
        <v>Di</v>
      </c>
      <c r="K4" s="35" t="str">
        <f t="shared" si="376"/>
        <v>Mi</v>
      </c>
      <c r="L4" s="35" t="str">
        <f t="shared" si="376"/>
        <v>Do</v>
      </c>
      <c r="M4" s="35" t="str">
        <f t="shared" si="376"/>
        <v>Fr</v>
      </c>
      <c r="N4" s="35" t="str">
        <f t="shared" si="376"/>
        <v>Sa</v>
      </c>
      <c r="O4" s="35" t="str">
        <f t="shared" si="376"/>
        <v>So</v>
      </c>
      <c r="P4" s="35" t="str">
        <f t="shared" si="376"/>
        <v>Mo</v>
      </c>
      <c r="Q4" s="35" t="str">
        <f t="shared" si="376"/>
        <v>Di</v>
      </c>
      <c r="R4" s="35" t="str">
        <f t="shared" si="376"/>
        <v>Mi</v>
      </c>
      <c r="S4" s="35" t="str">
        <f t="shared" si="376"/>
        <v>Do</v>
      </c>
      <c r="T4" s="35" t="str">
        <f t="shared" si="376"/>
        <v>Fr</v>
      </c>
      <c r="U4" s="35" t="str">
        <f t="shared" si="376"/>
        <v>Sa</v>
      </c>
      <c r="V4" s="35" t="str">
        <f t="shared" si="376"/>
        <v>So</v>
      </c>
      <c r="W4" s="35" t="str">
        <f t="shared" si="376"/>
        <v>Mo</v>
      </c>
      <c r="X4" s="35" t="str">
        <f t="shared" si="376"/>
        <v>Di</v>
      </c>
      <c r="Y4" s="35" t="str">
        <f t="shared" si="376"/>
        <v>Mi</v>
      </c>
      <c r="Z4" s="35" t="str">
        <f t="shared" si="376"/>
        <v>Do</v>
      </c>
      <c r="AA4" s="35" t="str">
        <f t="shared" si="376"/>
        <v>Fr</v>
      </c>
      <c r="AB4" s="35" t="str">
        <f t="shared" si="376"/>
        <v>Sa</v>
      </c>
      <c r="AC4" s="35" t="str">
        <f t="shared" si="376"/>
        <v>So</v>
      </c>
      <c r="AD4" s="35" t="str">
        <f t="shared" si="376"/>
        <v>Mo</v>
      </c>
      <c r="AE4" s="35" t="str">
        <f t="shared" si="376"/>
        <v>Di</v>
      </c>
      <c r="AF4" s="35" t="str">
        <f t="shared" si="376"/>
        <v>Mi</v>
      </c>
      <c r="AG4" s="35" t="str">
        <f t="shared" si="376"/>
        <v>Do</v>
      </c>
      <c r="AH4" s="35" t="str">
        <f t="shared" si="376"/>
        <v>Fr</v>
      </c>
      <c r="AI4" s="35" t="str">
        <f t="shared" si="376"/>
        <v>Sa</v>
      </c>
      <c r="AJ4" s="35" t="str">
        <f t="shared" si="376"/>
        <v>So</v>
      </c>
      <c r="AK4" s="35" t="str">
        <f t="shared" si="376"/>
        <v>Mo</v>
      </c>
      <c r="AL4" s="35" t="str">
        <f t="shared" si="376"/>
        <v>Di</v>
      </c>
      <c r="AM4" s="35" t="str">
        <f t="shared" si="376"/>
        <v>Mi</v>
      </c>
      <c r="AN4" s="35" t="str">
        <f t="shared" si="376"/>
        <v>Do</v>
      </c>
      <c r="AO4" s="35" t="str">
        <f t="shared" si="376"/>
        <v>Fr</v>
      </c>
      <c r="AP4" s="35" t="str">
        <f t="shared" si="376"/>
        <v>Sa</v>
      </c>
      <c r="AQ4" s="35" t="str">
        <f t="shared" si="376"/>
        <v>So</v>
      </c>
      <c r="AR4" s="35" t="str">
        <f t="shared" si="376"/>
        <v>Mo</v>
      </c>
      <c r="AS4" s="35" t="str">
        <f t="shared" si="376"/>
        <v>Di</v>
      </c>
      <c r="AT4" s="35" t="str">
        <f t="shared" si="376"/>
        <v>Mi</v>
      </c>
      <c r="AU4" s="35" t="str">
        <f t="shared" si="376"/>
        <v>Do</v>
      </c>
      <c r="AV4" s="35" t="str">
        <f t="shared" si="376"/>
        <v>Fr</v>
      </c>
      <c r="AW4" s="35" t="str">
        <f t="shared" si="376"/>
        <v>Sa</v>
      </c>
      <c r="AX4" s="35" t="str">
        <f t="shared" si="376"/>
        <v>So</v>
      </c>
      <c r="AY4" s="35" t="str">
        <f t="shared" si="376"/>
        <v>Mo</v>
      </c>
      <c r="AZ4" s="35" t="str">
        <f t="shared" si="376"/>
        <v>Di</v>
      </c>
      <c r="BA4" s="35" t="str">
        <f t="shared" si="376"/>
        <v>Mi</v>
      </c>
      <c r="BB4" s="35" t="str">
        <f t="shared" si="376"/>
        <v>Do</v>
      </c>
      <c r="BC4" s="35" t="str">
        <f t="shared" si="376"/>
        <v>Fr</v>
      </c>
      <c r="BD4" s="35" t="str">
        <f t="shared" si="376"/>
        <v>Sa</v>
      </c>
      <c r="BE4" s="35" t="str">
        <f t="shared" si="376"/>
        <v>So</v>
      </c>
      <c r="BF4" s="35" t="str">
        <f t="shared" si="376"/>
        <v>Mo</v>
      </c>
      <c r="BG4" s="35" t="str">
        <f t="shared" si="376"/>
        <v>Di</v>
      </c>
      <c r="BH4" s="35" t="str">
        <f t="shared" si="376"/>
        <v>Mi</v>
      </c>
      <c r="BI4" s="35" t="str">
        <f t="shared" si="376"/>
        <v>Do</v>
      </c>
      <c r="BJ4" s="35" t="str">
        <f t="shared" si="376"/>
        <v>Fr</v>
      </c>
      <c r="BK4" s="35" t="str">
        <f t="shared" si="376"/>
        <v>Sa</v>
      </c>
      <c r="BL4" s="35" t="str">
        <f t="shared" si="376"/>
        <v>So</v>
      </c>
      <c r="BM4" s="35" t="str">
        <f t="shared" si="376"/>
        <v>Mo</v>
      </c>
      <c r="BN4" s="35" t="str">
        <f t="shared" ref="BN4:DY4" si="377">TEXT(BN5,"TTT")</f>
        <v>Di</v>
      </c>
      <c r="BO4" s="35" t="str">
        <f t="shared" si="377"/>
        <v>Mi</v>
      </c>
      <c r="BP4" s="35" t="str">
        <f t="shared" si="377"/>
        <v>Do</v>
      </c>
      <c r="BQ4" s="35" t="str">
        <f t="shared" si="377"/>
        <v>Fr</v>
      </c>
      <c r="BR4" s="35" t="str">
        <f t="shared" si="377"/>
        <v>Sa</v>
      </c>
      <c r="BS4" s="35" t="str">
        <f t="shared" si="377"/>
        <v>So</v>
      </c>
      <c r="BT4" s="35" t="str">
        <f t="shared" si="377"/>
        <v>Mo</v>
      </c>
      <c r="BU4" s="35" t="str">
        <f t="shared" si="377"/>
        <v>Di</v>
      </c>
      <c r="BV4" s="35" t="str">
        <f t="shared" si="377"/>
        <v>Mi</v>
      </c>
      <c r="BW4" s="35" t="str">
        <f t="shared" si="377"/>
        <v>Do</v>
      </c>
      <c r="BX4" s="35" t="str">
        <f t="shared" si="377"/>
        <v>Fr</v>
      </c>
      <c r="BY4" s="35" t="str">
        <f t="shared" si="377"/>
        <v>Sa</v>
      </c>
      <c r="BZ4" s="35" t="str">
        <f t="shared" si="377"/>
        <v>So</v>
      </c>
      <c r="CA4" s="35" t="str">
        <f t="shared" si="377"/>
        <v>Mo</v>
      </c>
      <c r="CB4" s="35" t="str">
        <f t="shared" si="377"/>
        <v>Di</v>
      </c>
      <c r="CC4" s="35" t="str">
        <f t="shared" si="377"/>
        <v>Mi</v>
      </c>
      <c r="CD4" s="35" t="str">
        <f t="shared" si="377"/>
        <v>Do</v>
      </c>
      <c r="CE4" s="35" t="str">
        <f t="shared" si="377"/>
        <v>Fr</v>
      </c>
      <c r="CF4" s="35" t="str">
        <f t="shared" si="377"/>
        <v>Sa</v>
      </c>
      <c r="CG4" s="35" t="str">
        <f t="shared" si="377"/>
        <v>So</v>
      </c>
      <c r="CH4" s="35" t="str">
        <f t="shared" si="377"/>
        <v>Mo</v>
      </c>
      <c r="CI4" s="35" t="str">
        <f t="shared" si="377"/>
        <v>Di</v>
      </c>
      <c r="CJ4" s="35" t="str">
        <f t="shared" si="377"/>
        <v>Mi</v>
      </c>
      <c r="CK4" s="35" t="str">
        <f t="shared" si="377"/>
        <v>Do</v>
      </c>
      <c r="CL4" s="35" t="str">
        <f t="shared" si="377"/>
        <v>Fr</v>
      </c>
      <c r="CM4" s="35" t="str">
        <f t="shared" si="377"/>
        <v>Sa</v>
      </c>
      <c r="CN4" s="35" t="str">
        <f t="shared" si="377"/>
        <v>So</v>
      </c>
      <c r="CO4" s="35" t="str">
        <f t="shared" si="377"/>
        <v>Mo</v>
      </c>
      <c r="CP4" s="35" t="str">
        <f t="shared" si="377"/>
        <v>Di</v>
      </c>
      <c r="CQ4" s="35" t="str">
        <f t="shared" si="377"/>
        <v>Mi</v>
      </c>
      <c r="CR4" s="35" t="str">
        <f t="shared" si="377"/>
        <v>Do</v>
      </c>
      <c r="CS4" s="35" t="str">
        <f t="shared" si="377"/>
        <v>Fr</v>
      </c>
      <c r="CT4" s="35" t="str">
        <f t="shared" si="377"/>
        <v>Sa</v>
      </c>
      <c r="CU4" s="35" t="str">
        <f t="shared" si="377"/>
        <v>So</v>
      </c>
      <c r="CV4" s="35" t="str">
        <f t="shared" si="377"/>
        <v>Mo</v>
      </c>
      <c r="CW4" s="35" t="str">
        <f t="shared" si="377"/>
        <v>Di</v>
      </c>
      <c r="CX4" s="35" t="str">
        <f t="shared" si="377"/>
        <v>Mi</v>
      </c>
      <c r="CY4" s="35" t="str">
        <f t="shared" si="377"/>
        <v>Do</v>
      </c>
      <c r="CZ4" s="35" t="str">
        <f t="shared" si="377"/>
        <v>Fr</v>
      </c>
      <c r="DA4" s="35" t="str">
        <f t="shared" si="377"/>
        <v>Sa</v>
      </c>
      <c r="DB4" s="35" t="str">
        <f t="shared" si="377"/>
        <v>So</v>
      </c>
      <c r="DC4" s="35" t="str">
        <f t="shared" si="377"/>
        <v>Mo</v>
      </c>
      <c r="DD4" s="35" t="str">
        <f t="shared" si="377"/>
        <v>Di</v>
      </c>
      <c r="DE4" s="35" t="str">
        <f t="shared" si="377"/>
        <v>Mi</v>
      </c>
      <c r="DF4" s="35" t="str">
        <f t="shared" si="377"/>
        <v>Do</v>
      </c>
      <c r="DG4" s="35" t="str">
        <f t="shared" si="377"/>
        <v>Fr</v>
      </c>
      <c r="DH4" s="35" t="str">
        <f t="shared" si="377"/>
        <v>Sa</v>
      </c>
      <c r="DI4" s="35" t="str">
        <f t="shared" si="377"/>
        <v>So</v>
      </c>
      <c r="DJ4" s="35" t="str">
        <f t="shared" si="377"/>
        <v>Mo</v>
      </c>
      <c r="DK4" s="35" t="str">
        <f t="shared" si="377"/>
        <v>Di</v>
      </c>
      <c r="DL4" s="35" t="str">
        <f t="shared" si="377"/>
        <v>Mi</v>
      </c>
      <c r="DM4" s="35" t="str">
        <f t="shared" si="377"/>
        <v>Do</v>
      </c>
      <c r="DN4" s="35" t="str">
        <f t="shared" si="377"/>
        <v>Fr</v>
      </c>
      <c r="DO4" s="35" t="str">
        <f t="shared" si="377"/>
        <v>Sa</v>
      </c>
      <c r="DP4" s="35" t="str">
        <f t="shared" si="377"/>
        <v>So</v>
      </c>
      <c r="DQ4" s="35" t="str">
        <f t="shared" si="377"/>
        <v>Mo</v>
      </c>
      <c r="DR4" s="35" t="str">
        <f t="shared" si="377"/>
        <v>Di</v>
      </c>
      <c r="DS4" s="35" t="str">
        <f t="shared" si="377"/>
        <v>Mi</v>
      </c>
      <c r="DT4" s="35" t="str">
        <f t="shared" si="377"/>
        <v>Do</v>
      </c>
      <c r="DU4" s="35" t="str">
        <f t="shared" si="377"/>
        <v>Fr</v>
      </c>
      <c r="DV4" s="35" t="str">
        <f t="shared" si="377"/>
        <v>Sa</v>
      </c>
      <c r="DW4" s="35" t="str">
        <f t="shared" si="377"/>
        <v>So</v>
      </c>
      <c r="DX4" s="35" t="str">
        <f t="shared" si="377"/>
        <v>Mo</v>
      </c>
      <c r="DY4" s="35" t="str">
        <f t="shared" si="377"/>
        <v>Di</v>
      </c>
      <c r="DZ4" s="35" t="str">
        <f t="shared" ref="DZ4:GK4" si="378">TEXT(DZ5,"TTT")</f>
        <v>Mi</v>
      </c>
      <c r="EA4" s="35" t="str">
        <f t="shared" si="378"/>
        <v>Do</v>
      </c>
      <c r="EB4" s="35" t="str">
        <f t="shared" si="378"/>
        <v>Fr</v>
      </c>
      <c r="EC4" s="35" t="str">
        <f t="shared" si="378"/>
        <v>Sa</v>
      </c>
      <c r="ED4" s="35" t="str">
        <f t="shared" si="378"/>
        <v>So</v>
      </c>
      <c r="EE4" s="35" t="str">
        <f t="shared" si="378"/>
        <v>Mo</v>
      </c>
      <c r="EF4" s="35" t="str">
        <f t="shared" si="378"/>
        <v>Di</v>
      </c>
      <c r="EG4" s="35" t="str">
        <f t="shared" si="378"/>
        <v>Mi</v>
      </c>
      <c r="EH4" s="35" t="str">
        <f t="shared" si="378"/>
        <v>Do</v>
      </c>
      <c r="EI4" s="35" t="str">
        <f t="shared" si="378"/>
        <v>Fr</v>
      </c>
      <c r="EJ4" s="35" t="str">
        <f t="shared" si="378"/>
        <v>Sa</v>
      </c>
      <c r="EK4" s="35" t="str">
        <f t="shared" si="378"/>
        <v>So</v>
      </c>
      <c r="EL4" s="35" t="str">
        <f t="shared" si="378"/>
        <v>Mo</v>
      </c>
      <c r="EM4" s="35" t="str">
        <f t="shared" si="378"/>
        <v>Di</v>
      </c>
      <c r="EN4" s="35" t="str">
        <f t="shared" si="378"/>
        <v>Mi</v>
      </c>
      <c r="EO4" s="35" t="str">
        <f t="shared" si="378"/>
        <v>Do</v>
      </c>
      <c r="EP4" s="35" t="str">
        <f t="shared" si="378"/>
        <v>Fr</v>
      </c>
      <c r="EQ4" s="35" t="str">
        <f t="shared" si="378"/>
        <v>Sa</v>
      </c>
      <c r="ER4" s="35" t="str">
        <f t="shared" si="378"/>
        <v>So</v>
      </c>
      <c r="ES4" s="35" t="str">
        <f t="shared" si="378"/>
        <v>Mo</v>
      </c>
      <c r="ET4" s="35" t="str">
        <f t="shared" si="378"/>
        <v>Di</v>
      </c>
      <c r="EU4" s="35" t="str">
        <f t="shared" si="378"/>
        <v>Mi</v>
      </c>
      <c r="EV4" s="35" t="str">
        <f t="shared" si="378"/>
        <v>Do</v>
      </c>
      <c r="EW4" s="35" t="str">
        <f t="shared" si="378"/>
        <v>Fr</v>
      </c>
      <c r="EX4" s="35" t="str">
        <f t="shared" si="378"/>
        <v>Sa</v>
      </c>
      <c r="EY4" s="35" t="str">
        <f t="shared" si="378"/>
        <v>So</v>
      </c>
      <c r="EZ4" s="35" t="str">
        <f t="shared" si="378"/>
        <v>Mo</v>
      </c>
      <c r="FA4" s="35" t="str">
        <f t="shared" si="378"/>
        <v>Di</v>
      </c>
      <c r="FB4" s="35" t="str">
        <f t="shared" si="378"/>
        <v>Mi</v>
      </c>
      <c r="FC4" s="35" t="str">
        <f t="shared" si="378"/>
        <v>Do</v>
      </c>
      <c r="FD4" s="35" t="str">
        <f t="shared" si="378"/>
        <v>Fr</v>
      </c>
      <c r="FE4" s="35" t="str">
        <f t="shared" si="378"/>
        <v>Sa</v>
      </c>
      <c r="FF4" s="35" t="str">
        <f t="shared" si="378"/>
        <v>So</v>
      </c>
      <c r="FG4" s="35" t="str">
        <f t="shared" si="378"/>
        <v>Mo</v>
      </c>
      <c r="FH4" s="35" t="str">
        <f t="shared" si="378"/>
        <v>Di</v>
      </c>
      <c r="FI4" s="35" t="str">
        <f t="shared" si="378"/>
        <v>Mi</v>
      </c>
      <c r="FJ4" s="35" t="str">
        <f t="shared" si="378"/>
        <v>Do</v>
      </c>
      <c r="FK4" s="35" t="str">
        <f t="shared" si="378"/>
        <v>Fr</v>
      </c>
      <c r="FL4" s="35" t="str">
        <f t="shared" si="378"/>
        <v>Sa</v>
      </c>
      <c r="FM4" s="35" t="str">
        <f t="shared" si="378"/>
        <v>So</v>
      </c>
      <c r="FN4" s="35" t="str">
        <f t="shared" si="378"/>
        <v>Mo</v>
      </c>
      <c r="FO4" s="35" t="str">
        <f t="shared" si="378"/>
        <v>Di</v>
      </c>
      <c r="FP4" s="35" t="str">
        <f t="shared" si="378"/>
        <v>Mi</v>
      </c>
      <c r="FQ4" s="35" t="str">
        <f t="shared" si="378"/>
        <v>Do</v>
      </c>
      <c r="FR4" s="35" t="str">
        <f t="shared" si="378"/>
        <v>Fr</v>
      </c>
      <c r="FS4" s="35" t="str">
        <f t="shared" si="378"/>
        <v>Sa</v>
      </c>
      <c r="FT4" s="35" t="str">
        <f t="shared" si="378"/>
        <v>So</v>
      </c>
      <c r="FU4" s="35" t="str">
        <f t="shared" si="378"/>
        <v>Mo</v>
      </c>
      <c r="FV4" s="35" t="str">
        <f t="shared" si="378"/>
        <v>Di</v>
      </c>
      <c r="FW4" s="35" t="str">
        <f t="shared" si="378"/>
        <v>Mi</v>
      </c>
      <c r="FX4" s="35" t="str">
        <f t="shared" si="378"/>
        <v>Do</v>
      </c>
      <c r="FY4" s="35" t="str">
        <f t="shared" si="378"/>
        <v>Fr</v>
      </c>
      <c r="FZ4" s="35" t="str">
        <f t="shared" si="378"/>
        <v>Sa</v>
      </c>
      <c r="GA4" s="35" t="str">
        <f t="shared" si="378"/>
        <v>So</v>
      </c>
      <c r="GB4" s="35" t="str">
        <f t="shared" si="378"/>
        <v>Mo</v>
      </c>
      <c r="GC4" s="35" t="str">
        <f t="shared" si="378"/>
        <v>Di</v>
      </c>
      <c r="GD4" s="35" t="str">
        <f t="shared" si="378"/>
        <v>Mi</v>
      </c>
      <c r="GE4" s="35" t="str">
        <f t="shared" si="378"/>
        <v>Do</v>
      </c>
      <c r="GF4" s="35" t="str">
        <f t="shared" si="378"/>
        <v>Fr</v>
      </c>
      <c r="GG4" s="35" t="str">
        <f t="shared" si="378"/>
        <v>Sa</v>
      </c>
      <c r="GH4" s="35" t="str">
        <f t="shared" si="378"/>
        <v>So</v>
      </c>
      <c r="GI4" s="35" t="str">
        <f t="shared" si="378"/>
        <v>Mo</v>
      </c>
      <c r="GJ4" s="35" t="str">
        <f t="shared" si="378"/>
        <v>Di</v>
      </c>
      <c r="GK4" s="35" t="str">
        <f t="shared" si="378"/>
        <v>Mi</v>
      </c>
      <c r="GL4" s="35" t="str">
        <f t="shared" ref="GL4:IW4" si="379">TEXT(GL5,"TTT")</f>
        <v>Do</v>
      </c>
      <c r="GM4" s="35" t="str">
        <f t="shared" si="379"/>
        <v>Fr</v>
      </c>
      <c r="GN4" s="35" t="str">
        <f t="shared" si="379"/>
        <v>Sa</v>
      </c>
      <c r="GO4" s="35" t="str">
        <f t="shared" si="379"/>
        <v>So</v>
      </c>
      <c r="GP4" s="35" t="str">
        <f t="shared" si="379"/>
        <v>Mo</v>
      </c>
      <c r="GQ4" s="35" t="str">
        <f t="shared" si="379"/>
        <v>Di</v>
      </c>
      <c r="GR4" s="35" t="str">
        <f t="shared" si="379"/>
        <v>Mi</v>
      </c>
      <c r="GS4" s="35" t="str">
        <f t="shared" si="379"/>
        <v>Do</v>
      </c>
      <c r="GT4" s="35" t="str">
        <f t="shared" si="379"/>
        <v>Fr</v>
      </c>
      <c r="GU4" s="35" t="str">
        <f t="shared" si="379"/>
        <v>Sa</v>
      </c>
      <c r="GV4" s="35" t="str">
        <f t="shared" si="379"/>
        <v>So</v>
      </c>
      <c r="GW4" s="35" t="str">
        <f t="shared" si="379"/>
        <v>Mo</v>
      </c>
      <c r="GX4" s="35" t="str">
        <f t="shared" si="379"/>
        <v>Di</v>
      </c>
      <c r="GY4" s="35" t="str">
        <f t="shared" si="379"/>
        <v>Mi</v>
      </c>
      <c r="GZ4" s="35" t="str">
        <f t="shared" si="379"/>
        <v>Do</v>
      </c>
      <c r="HA4" s="35" t="str">
        <f t="shared" si="379"/>
        <v>Fr</v>
      </c>
      <c r="HB4" s="35" t="str">
        <f t="shared" si="379"/>
        <v>Sa</v>
      </c>
      <c r="HC4" s="35" t="str">
        <f t="shared" si="379"/>
        <v>So</v>
      </c>
      <c r="HD4" s="35" t="str">
        <f t="shared" si="379"/>
        <v>Mo</v>
      </c>
      <c r="HE4" s="35" t="str">
        <f t="shared" si="379"/>
        <v>Di</v>
      </c>
      <c r="HF4" s="35" t="str">
        <f t="shared" si="379"/>
        <v>Mi</v>
      </c>
      <c r="HG4" s="35" t="str">
        <f t="shared" si="379"/>
        <v>Do</v>
      </c>
      <c r="HH4" s="35" t="str">
        <f t="shared" si="379"/>
        <v>Fr</v>
      </c>
      <c r="HI4" s="35" t="str">
        <f t="shared" si="379"/>
        <v>Sa</v>
      </c>
      <c r="HJ4" s="35" t="str">
        <f t="shared" si="379"/>
        <v>So</v>
      </c>
      <c r="HK4" s="35" t="str">
        <f t="shared" si="379"/>
        <v>Mo</v>
      </c>
      <c r="HL4" s="35" t="str">
        <f t="shared" si="379"/>
        <v>Di</v>
      </c>
      <c r="HM4" s="35" t="str">
        <f t="shared" si="379"/>
        <v>Mi</v>
      </c>
      <c r="HN4" s="35" t="str">
        <f t="shared" si="379"/>
        <v>Do</v>
      </c>
      <c r="HO4" s="35" t="str">
        <f t="shared" si="379"/>
        <v>Fr</v>
      </c>
      <c r="HP4" s="35" t="str">
        <f t="shared" si="379"/>
        <v>Sa</v>
      </c>
      <c r="HQ4" s="35" t="str">
        <f t="shared" si="379"/>
        <v>So</v>
      </c>
      <c r="HR4" s="35" t="str">
        <f t="shared" si="379"/>
        <v>Mo</v>
      </c>
      <c r="HS4" s="35" t="str">
        <f t="shared" si="379"/>
        <v>Di</v>
      </c>
      <c r="HT4" s="35" t="str">
        <f t="shared" si="379"/>
        <v>Mi</v>
      </c>
      <c r="HU4" s="35" t="str">
        <f t="shared" si="379"/>
        <v>Do</v>
      </c>
      <c r="HV4" s="35" t="str">
        <f t="shared" si="379"/>
        <v>Fr</v>
      </c>
      <c r="HW4" s="35" t="str">
        <f t="shared" si="379"/>
        <v>Sa</v>
      </c>
      <c r="HX4" s="35" t="str">
        <f t="shared" si="379"/>
        <v>So</v>
      </c>
      <c r="HY4" s="35" t="str">
        <f t="shared" si="379"/>
        <v>Mo</v>
      </c>
      <c r="HZ4" s="35" t="str">
        <f t="shared" si="379"/>
        <v>Di</v>
      </c>
      <c r="IA4" s="35" t="str">
        <f t="shared" si="379"/>
        <v>Mi</v>
      </c>
      <c r="IB4" s="35" t="str">
        <f t="shared" si="379"/>
        <v>Do</v>
      </c>
      <c r="IC4" s="35" t="str">
        <f t="shared" si="379"/>
        <v>Fr</v>
      </c>
      <c r="ID4" s="35" t="str">
        <f t="shared" si="379"/>
        <v>Sa</v>
      </c>
      <c r="IE4" s="35" t="str">
        <f t="shared" si="379"/>
        <v>So</v>
      </c>
      <c r="IF4" s="35" t="str">
        <f t="shared" si="379"/>
        <v>Mo</v>
      </c>
      <c r="IG4" s="35" t="str">
        <f t="shared" si="379"/>
        <v>Di</v>
      </c>
      <c r="IH4" s="35" t="str">
        <f t="shared" si="379"/>
        <v>Mi</v>
      </c>
      <c r="II4" s="35" t="str">
        <f t="shared" si="379"/>
        <v>Do</v>
      </c>
      <c r="IJ4" s="35" t="str">
        <f t="shared" si="379"/>
        <v>Fr</v>
      </c>
      <c r="IK4" s="35" t="str">
        <f t="shared" si="379"/>
        <v>Sa</v>
      </c>
      <c r="IL4" s="35" t="str">
        <f t="shared" si="379"/>
        <v>So</v>
      </c>
      <c r="IM4" s="35" t="str">
        <f t="shared" si="379"/>
        <v>Mo</v>
      </c>
      <c r="IN4" s="35" t="str">
        <f t="shared" si="379"/>
        <v>Di</v>
      </c>
      <c r="IO4" s="35" t="str">
        <f t="shared" si="379"/>
        <v>Mi</v>
      </c>
      <c r="IP4" s="35" t="str">
        <f t="shared" si="379"/>
        <v>Do</v>
      </c>
      <c r="IQ4" s="35" t="str">
        <f t="shared" si="379"/>
        <v>Fr</v>
      </c>
      <c r="IR4" s="35" t="str">
        <f t="shared" si="379"/>
        <v>Sa</v>
      </c>
      <c r="IS4" s="35" t="str">
        <f t="shared" si="379"/>
        <v>So</v>
      </c>
      <c r="IT4" s="35" t="str">
        <f t="shared" si="379"/>
        <v>Mo</v>
      </c>
      <c r="IU4" s="35" t="str">
        <f t="shared" si="379"/>
        <v>Di</v>
      </c>
      <c r="IV4" s="35" t="str">
        <f t="shared" si="379"/>
        <v>Mi</v>
      </c>
      <c r="IW4" s="35" t="str">
        <f t="shared" si="379"/>
        <v>Do</v>
      </c>
      <c r="IX4" s="35" t="str">
        <f t="shared" ref="IX4:LI4" si="380">TEXT(IX5,"TTT")</f>
        <v>Fr</v>
      </c>
      <c r="IY4" s="35" t="str">
        <f t="shared" si="380"/>
        <v>Sa</v>
      </c>
      <c r="IZ4" s="35" t="str">
        <f t="shared" si="380"/>
        <v>So</v>
      </c>
      <c r="JA4" s="35" t="str">
        <f t="shared" si="380"/>
        <v>Mo</v>
      </c>
      <c r="JB4" s="35" t="str">
        <f t="shared" si="380"/>
        <v>Di</v>
      </c>
      <c r="JC4" s="35" t="str">
        <f t="shared" si="380"/>
        <v>Mi</v>
      </c>
      <c r="JD4" s="35" t="str">
        <f t="shared" si="380"/>
        <v>Do</v>
      </c>
      <c r="JE4" s="35" t="str">
        <f t="shared" si="380"/>
        <v>Fr</v>
      </c>
      <c r="JF4" s="35" t="str">
        <f t="shared" si="380"/>
        <v>Sa</v>
      </c>
      <c r="JG4" s="35" t="str">
        <f t="shared" si="380"/>
        <v>So</v>
      </c>
      <c r="JH4" s="35" t="str">
        <f t="shared" si="380"/>
        <v>Mo</v>
      </c>
      <c r="JI4" s="35" t="str">
        <f t="shared" si="380"/>
        <v>Di</v>
      </c>
      <c r="JJ4" s="35" t="str">
        <f t="shared" si="380"/>
        <v>Mi</v>
      </c>
      <c r="JK4" s="35" t="str">
        <f t="shared" si="380"/>
        <v>Do</v>
      </c>
      <c r="JL4" s="35" t="str">
        <f t="shared" si="380"/>
        <v>Fr</v>
      </c>
      <c r="JM4" s="35" t="str">
        <f t="shared" si="380"/>
        <v>Sa</v>
      </c>
      <c r="JN4" s="35" t="str">
        <f t="shared" si="380"/>
        <v>So</v>
      </c>
      <c r="JO4" s="35" t="str">
        <f t="shared" si="380"/>
        <v>Mo</v>
      </c>
      <c r="JP4" s="35" t="str">
        <f t="shared" si="380"/>
        <v>Di</v>
      </c>
      <c r="JQ4" s="35" t="str">
        <f t="shared" si="380"/>
        <v>Mi</v>
      </c>
      <c r="JR4" s="35" t="str">
        <f t="shared" si="380"/>
        <v>Do</v>
      </c>
      <c r="JS4" s="35" t="str">
        <f t="shared" si="380"/>
        <v>Fr</v>
      </c>
      <c r="JT4" s="35" t="str">
        <f t="shared" si="380"/>
        <v>Sa</v>
      </c>
      <c r="JU4" s="35" t="str">
        <f t="shared" si="380"/>
        <v>So</v>
      </c>
      <c r="JV4" s="35" t="str">
        <f t="shared" si="380"/>
        <v>Mo</v>
      </c>
      <c r="JW4" s="35" t="str">
        <f t="shared" si="380"/>
        <v>Di</v>
      </c>
      <c r="JX4" s="35" t="str">
        <f t="shared" si="380"/>
        <v>Mi</v>
      </c>
      <c r="JY4" s="35" t="str">
        <f t="shared" si="380"/>
        <v>Do</v>
      </c>
      <c r="JZ4" s="35" t="str">
        <f t="shared" si="380"/>
        <v>Fr</v>
      </c>
      <c r="KA4" s="35" t="str">
        <f t="shared" si="380"/>
        <v>Sa</v>
      </c>
      <c r="KB4" s="35" t="str">
        <f t="shared" si="380"/>
        <v>So</v>
      </c>
      <c r="KC4" s="35" t="str">
        <f t="shared" si="380"/>
        <v>Mo</v>
      </c>
      <c r="KD4" s="35" t="str">
        <f t="shared" si="380"/>
        <v>Di</v>
      </c>
      <c r="KE4" s="35" t="str">
        <f t="shared" si="380"/>
        <v>Mi</v>
      </c>
      <c r="KF4" s="35" t="str">
        <f t="shared" si="380"/>
        <v>Do</v>
      </c>
      <c r="KG4" s="35" t="str">
        <f t="shared" si="380"/>
        <v>Fr</v>
      </c>
      <c r="KH4" s="35" t="str">
        <f t="shared" si="380"/>
        <v>Sa</v>
      </c>
      <c r="KI4" s="35" t="str">
        <f t="shared" si="380"/>
        <v>So</v>
      </c>
      <c r="KJ4" s="35" t="str">
        <f t="shared" si="380"/>
        <v>Mo</v>
      </c>
      <c r="KK4" s="35" t="str">
        <f t="shared" si="380"/>
        <v>Di</v>
      </c>
      <c r="KL4" s="35" t="str">
        <f t="shared" si="380"/>
        <v>Mi</v>
      </c>
      <c r="KM4" s="35" t="str">
        <f t="shared" si="380"/>
        <v>Do</v>
      </c>
      <c r="KN4" s="35" t="str">
        <f t="shared" si="380"/>
        <v>Fr</v>
      </c>
      <c r="KO4" s="35" t="str">
        <f t="shared" si="380"/>
        <v>Sa</v>
      </c>
      <c r="KP4" s="35" t="str">
        <f t="shared" si="380"/>
        <v>So</v>
      </c>
      <c r="KQ4" s="35" t="str">
        <f t="shared" si="380"/>
        <v>Mo</v>
      </c>
      <c r="KR4" s="35" t="str">
        <f t="shared" si="380"/>
        <v>Di</v>
      </c>
      <c r="KS4" s="35" t="str">
        <f t="shared" si="380"/>
        <v>Mi</v>
      </c>
      <c r="KT4" s="35" t="str">
        <f t="shared" si="380"/>
        <v>Do</v>
      </c>
      <c r="KU4" s="35" t="str">
        <f t="shared" si="380"/>
        <v>Fr</v>
      </c>
      <c r="KV4" s="35" t="str">
        <f t="shared" si="380"/>
        <v>Sa</v>
      </c>
      <c r="KW4" s="35" t="str">
        <f t="shared" si="380"/>
        <v>So</v>
      </c>
      <c r="KX4" s="35" t="str">
        <f t="shared" si="380"/>
        <v>Mo</v>
      </c>
      <c r="KY4" s="35" t="str">
        <f t="shared" si="380"/>
        <v>Di</v>
      </c>
      <c r="KZ4" s="35" t="str">
        <f t="shared" si="380"/>
        <v>Mi</v>
      </c>
      <c r="LA4" s="35" t="str">
        <f t="shared" si="380"/>
        <v>Do</v>
      </c>
      <c r="LB4" s="35" t="str">
        <f t="shared" si="380"/>
        <v>Fr</v>
      </c>
      <c r="LC4" s="35" t="str">
        <f t="shared" si="380"/>
        <v>Sa</v>
      </c>
      <c r="LD4" s="35" t="str">
        <f t="shared" si="380"/>
        <v>So</v>
      </c>
      <c r="LE4" s="35" t="str">
        <f t="shared" si="380"/>
        <v>Mo</v>
      </c>
      <c r="LF4" s="35" t="str">
        <f t="shared" si="380"/>
        <v>Di</v>
      </c>
      <c r="LG4" s="35" t="str">
        <f t="shared" si="380"/>
        <v>Mi</v>
      </c>
      <c r="LH4" s="35" t="str">
        <f t="shared" si="380"/>
        <v>Do</v>
      </c>
      <c r="LI4" s="35" t="str">
        <f t="shared" si="380"/>
        <v>Fr</v>
      </c>
      <c r="LJ4" s="35" t="str">
        <f t="shared" ref="LJ4:NA4" si="381">TEXT(LJ5,"TTT")</f>
        <v>Sa</v>
      </c>
      <c r="LK4" s="35" t="str">
        <f t="shared" si="381"/>
        <v>So</v>
      </c>
      <c r="LL4" s="35" t="str">
        <f t="shared" si="381"/>
        <v>Mo</v>
      </c>
      <c r="LM4" s="35" t="str">
        <f t="shared" si="381"/>
        <v>Di</v>
      </c>
      <c r="LN4" s="35" t="str">
        <f t="shared" si="381"/>
        <v>Mi</v>
      </c>
      <c r="LO4" s="35" t="str">
        <f t="shared" si="381"/>
        <v>Do</v>
      </c>
      <c r="LP4" s="35" t="str">
        <f t="shared" si="381"/>
        <v>Fr</v>
      </c>
      <c r="LQ4" s="35" t="str">
        <f t="shared" si="381"/>
        <v>Sa</v>
      </c>
      <c r="LR4" s="35" t="str">
        <f t="shared" si="381"/>
        <v>So</v>
      </c>
      <c r="LS4" s="35" t="str">
        <f t="shared" si="381"/>
        <v>Mo</v>
      </c>
      <c r="LT4" s="35" t="str">
        <f t="shared" si="381"/>
        <v>Di</v>
      </c>
      <c r="LU4" s="35" t="str">
        <f t="shared" si="381"/>
        <v>Mi</v>
      </c>
      <c r="LV4" s="35" t="str">
        <f t="shared" si="381"/>
        <v>Do</v>
      </c>
      <c r="LW4" s="35" t="str">
        <f t="shared" si="381"/>
        <v>Fr</v>
      </c>
      <c r="LX4" s="35" t="str">
        <f t="shared" si="381"/>
        <v>Sa</v>
      </c>
      <c r="LY4" s="35" t="str">
        <f t="shared" si="381"/>
        <v>So</v>
      </c>
      <c r="LZ4" s="35" t="str">
        <f t="shared" si="381"/>
        <v>Mo</v>
      </c>
      <c r="MA4" s="35" t="str">
        <f t="shared" si="381"/>
        <v>Di</v>
      </c>
      <c r="MB4" s="35" t="str">
        <f t="shared" si="381"/>
        <v>Mi</v>
      </c>
      <c r="MC4" s="35" t="str">
        <f t="shared" si="381"/>
        <v>Do</v>
      </c>
      <c r="MD4" s="35" t="str">
        <f t="shared" si="381"/>
        <v>Fr</v>
      </c>
      <c r="ME4" s="35" t="str">
        <f t="shared" si="381"/>
        <v>Sa</v>
      </c>
      <c r="MF4" s="35" t="str">
        <f t="shared" si="381"/>
        <v>So</v>
      </c>
      <c r="MG4" s="35" t="str">
        <f t="shared" si="381"/>
        <v>Mo</v>
      </c>
      <c r="MH4" s="35" t="str">
        <f t="shared" si="381"/>
        <v>Di</v>
      </c>
      <c r="MI4" s="35" t="str">
        <f t="shared" si="381"/>
        <v>Mi</v>
      </c>
      <c r="MJ4" s="35" t="str">
        <f t="shared" si="381"/>
        <v>Do</v>
      </c>
      <c r="MK4" s="35" t="str">
        <f t="shared" si="381"/>
        <v>Fr</v>
      </c>
      <c r="ML4" s="35" t="str">
        <f t="shared" si="381"/>
        <v>Sa</v>
      </c>
      <c r="MM4" s="35" t="str">
        <f t="shared" si="381"/>
        <v>So</v>
      </c>
      <c r="MN4" s="35" t="str">
        <f t="shared" si="381"/>
        <v>Mo</v>
      </c>
      <c r="MO4" s="35" t="str">
        <f t="shared" si="381"/>
        <v>Di</v>
      </c>
      <c r="MP4" s="35" t="str">
        <f t="shared" si="381"/>
        <v>Mi</v>
      </c>
      <c r="MQ4" s="35" t="str">
        <f t="shared" si="381"/>
        <v>Do</v>
      </c>
      <c r="MR4" s="35" t="str">
        <f t="shared" si="381"/>
        <v>Fr</v>
      </c>
      <c r="MS4" s="35" t="str">
        <f t="shared" si="381"/>
        <v>Sa</v>
      </c>
      <c r="MT4" s="35" t="str">
        <f t="shared" si="381"/>
        <v>So</v>
      </c>
      <c r="MU4" s="35" t="str">
        <f t="shared" si="381"/>
        <v>Mo</v>
      </c>
      <c r="MV4" s="35" t="str">
        <f t="shared" si="381"/>
        <v>Di</v>
      </c>
      <c r="MW4" s="35" t="str">
        <f t="shared" si="381"/>
        <v>Mi</v>
      </c>
      <c r="MX4" s="35" t="str">
        <f t="shared" si="381"/>
        <v>Do</v>
      </c>
      <c r="MY4" s="35" t="str">
        <f t="shared" si="381"/>
        <v>Fr</v>
      </c>
      <c r="MZ4" s="35" t="str">
        <f t="shared" si="381"/>
        <v>Sa</v>
      </c>
      <c r="NA4" s="35" t="str">
        <f t="shared" si="381"/>
        <v>So</v>
      </c>
    </row>
    <row r="5" spans="1:365" ht="15.75" thickBot="1" x14ac:dyDescent="0.3">
      <c r="A5" s="38" t="s">
        <v>53</v>
      </c>
      <c r="B5" s="36">
        <f>Grundeinstellungen!B1</f>
        <v>45201</v>
      </c>
      <c r="C5" s="36">
        <f>B5+1</f>
        <v>45202</v>
      </c>
      <c r="D5" s="36">
        <f t="shared" ref="D5:BO5" si="382">C5+1</f>
        <v>45203</v>
      </c>
      <c r="E5" s="36">
        <f t="shared" si="382"/>
        <v>45204</v>
      </c>
      <c r="F5" s="36">
        <f t="shared" si="382"/>
        <v>45205</v>
      </c>
      <c r="G5" s="36">
        <f t="shared" si="382"/>
        <v>45206</v>
      </c>
      <c r="H5" s="36">
        <f t="shared" si="382"/>
        <v>45207</v>
      </c>
      <c r="I5" s="36">
        <f t="shared" si="382"/>
        <v>45208</v>
      </c>
      <c r="J5" s="36">
        <f t="shared" si="382"/>
        <v>45209</v>
      </c>
      <c r="K5" s="36">
        <f t="shared" si="382"/>
        <v>45210</v>
      </c>
      <c r="L5" s="36">
        <f t="shared" si="382"/>
        <v>45211</v>
      </c>
      <c r="M5" s="36">
        <f t="shared" si="382"/>
        <v>45212</v>
      </c>
      <c r="N5" s="36">
        <f t="shared" si="382"/>
        <v>45213</v>
      </c>
      <c r="O5" s="36">
        <f t="shared" si="382"/>
        <v>45214</v>
      </c>
      <c r="P5" s="36">
        <f t="shared" si="382"/>
        <v>45215</v>
      </c>
      <c r="Q5" s="36">
        <f t="shared" si="382"/>
        <v>45216</v>
      </c>
      <c r="R5" s="36">
        <f t="shared" si="382"/>
        <v>45217</v>
      </c>
      <c r="S5" s="36">
        <f t="shared" si="382"/>
        <v>45218</v>
      </c>
      <c r="T5" s="36">
        <f t="shared" si="382"/>
        <v>45219</v>
      </c>
      <c r="U5" s="36">
        <f t="shared" si="382"/>
        <v>45220</v>
      </c>
      <c r="V5" s="36">
        <f t="shared" si="382"/>
        <v>45221</v>
      </c>
      <c r="W5" s="36">
        <f t="shared" si="382"/>
        <v>45222</v>
      </c>
      <c r="X5" s="36">
        <f t="shared" si="382"/>
        <v>45223</v>
      </c>
      <c r="Y5" s="36">
        <f t="shared" si="382"/>
        <v>45224</v>
      </c>
      <c r="Z5" s="36">
        <f t="shared" si="382"/>
        <v>45225</v>
      </c>
      <c r="AA5" s="36">
        <f t="shared" si="382"/>
        <v>45226</v>
      </c>
      <c r="AB5" s="36">
        <f t="shared" si="382"/>
        <v>45227</v>
      </c>
      <c r="AC5" s="36">
        <f t="shared" si="382"/>
        <v>45228</v>
      </c>
      <c r="AD5" s="36">
        <f t="shared" si="382"/>
        <v>45229</v>
      </c>
      <c r="AE5" s="36">
        <f t="shared" si="382"/>
        <v>45230</v>
      </c>
      <c r="AF5" s="36">
        <f t="shared" si="382"/>
        <v>45231</v>
      </c>
      <c r="AG5" s="36">
        <f t="shared" si="382"/>
        <v>45232</v>
      </c>
      <c r="AH5" s="36">
        <f t="shared" si="382"/>
        <v>45233</v>
      </c>
      <c r="AI5" s="36">
        <f t="shared" si="382"/>
        <v>45234</v>
      </c>
      <c r="AJ5" s="36">
        <f t="shared" si="382"/>
        <v>45235</v>
      </c>
      <c r="AK5" s="36">
        <f t="shared" si="382"/>
        <v>45236</v>
      </c>
      <c r="AL5" s="36">
        <f t="shared" si="382"/>
        <v>45237</v>
      </c>
      <c r="AM5" s="36">
        <f t="shared" si="382"/>
        <v>45238</v>
      </c>
      <c r="AN5" s="36">
        <f t="shared" si="382"/>
        <v>45239</v>
      </c>
      <c r="AO5" s="36">
        <f t="shared" si="382"/>
        <v>45240</v>
      </c>
      <c r="AP5" s="36">
        <f t="shared" si="382"/>
        <v>45241</v>
      </c>
      <c r="AQ5" s="36">
        <f t="shared" si="382"/>
        <v>45242</v>
      </c>
      <c r="AR5" s="36">
        <f t="shared" si="382"/>
        <v>45243</v>
      </c>
      <c r="AS5" s="36">
        <f t="shared" si="382"/>
        <v>45244</v>
      </c>
      <c r="AT5" s="36">
        <f t="shared" si="382"/>
        <v>45245</v>
      </c>
      <c r="AU5" s="36">
        <f t="shared" si="382"/>
        <v>45246</v>
      </c>
      <c r="AV5" s="36">
        <f t="shared" si="382"/>
        <v>45247</v>
      </c>
      <c r="AW5" s="36">
        <f t="shared" si="382"/>
        <v>45248</v>
      </c>
      <c r="AX5" s="36">
        <f t="shared" si="382"/>
        <v>45249</v>
      </c>
      <c r="AY5" s="36">
        <f t="shared" si="382"/>
        <v>45250</v>
      </c>
      <c r="AZ5" s="36">
        <f t="shared" si="382"/>
        <v>45251</v>
      </c>
      <c r="BA5" s="36">
        <f t="shared" si="382"/>
        <v>45252</v>
      </c>
      <c r="BB5" s="36">
        <f t="shared" si="382"/>
        <v>45253</v>
      </c>
      <c r="BC5" s="36">
        <f t="shared" si="382"/>
        <v>45254</v>
      </c>
      <c r="BD5" s="36">
        <f t="shared" si="382"/>
        <v>45255</v>
      </c>
      <c r="BE5" s="36">
        <f t="shared" si="382"/>
        <v>45256</v>
      </c>
      <c r="BF5" s="36">
        <f t="shared" si="382"/>
        <v>45257</v>
      </c>
      <c r="BG5" s="36">
        <f t="shared" si="382"/>
        <v>45258</v>
      </c>
      <c r="BH5" s="36">
        <f t="shared" si="382"/>
        <v>45259</v>
      </c>
      <c r="BI5" s="36">
        <f t="shared" si="382"/>
        <v>45260</v>
      </c>
      <c r="BJ5" s="36">
        <f t="shared" si="382"/>
        <v>45261</v>
      </c>
      <c r="BK5" s="36">
        <f t="shared" si="382"/>
        <v>45262</v>
      </c>
      <c r="BL5" s="36">
        <f t="shared" si="382"/>
        <v>45263</v>
      </c>
      <c r="BM5" s="36">
        <f t="shared" si="382"/>
        <v>45264</v>
      </c>
      <c r="BN5" s="36">
        <f t="shared" si="382"/>
        <v>45265</v>
      </c>
      <c r="BO5" s="36">
        <f t="shared" si="382"/>
        <v>45266</v>
      </c>
      <c r="BP5" s="36">
        <f t="shared" ref="BP5:EA5" si="383">BO5+1</f>
        <v>45267</v>
      </c>
      <c r="BQ5" s="36">
        <f t="shared" si="383"/>
        <v>45268</v>
      </c>
      <c r="BR5" s="36">
        <f t="shared" si="383"/>
        <v>45269</v>
      </c>
      <c r="BS5" s="36">
        <f t="shared" si="383"/>
        <v>45270</v>
      </c>
      <c r="BT5" s="36">
        <f t="shared" si="383"/>
        <v>45271</v>
      </c>
      <c r="BU5" s="36">
        <f t="shared" si="383"/>
        <v>45272</v>
      </c>
      <c r="BV5" s="36">
        <f t="shared" si="383"/>
        <v>45273</v>
      </c>
      <c r="BW5" s="36">
        <f t="shared" si="383"/>
        <v>45274</v>
      </c>
      <c r="BX5" s="36">
        <f t="shared" si="383"/>
        <v>45275</v>
      </c>
      <c r="BY5" s="36">
        <f t="shared" si="383"/>
        <v>45276</v>
      </c>
      <c r="BZ5" s="36">
        <f t="shared" si="383"/>
        <v>45277</v>
      </c>
      <c r="CA5" s="36">
        <f t="shared" si="383"/>
        <v>45278</v>
      </c>
      <c r="CB5" s="36">
        <f t="shared" si="383"/>
        <v>45279</v>
      </c>
      <c r="CC5" s="36">
        <f t="shared" si="383"/>
        <v>45280</v>
      </c>
      <c r="CD5" s="36">
        <f t="shared" si="383"/>
        <v>45281</v>
      </c>
      <c r="CE5" s="36">
        <f t="shared" si="383"/>
        <v>45282</v>
      </c>
      <c r="CF5" s="36">
        <f t="shared" si="383"/>
        <v>45283</v>
      </c>
      <c r="CG5" s="36">
        <f t="shared" si="383"/>
        <v>45284</v>
      </c>
      <c r="CH5" s="36">
        <f t="shared" si="383"/>
        <v>45285</v>
      </c>
      <c r="CI5" s="36">
        <f t="shared" si="383"/>
        <v>45286</v>
      </c>
      <c r="CJ5" s="36">
        <f t="shared" si="383"/>
        <v>45287</v>
      </c>
      <c r="CK5" s="36">
        <f t="shared" si="383"/>
        <v>45288</v>
      </c>
      <c r="CL5" s="36">
        <f t="shared" si="383"/>
        <v>45289</v>
      </c>
      <c r="CM5" s="36">
        <f t="shared" si="383"/>
        <v>45290</v>
      </c>
      <c r="CN5" s="36">
        <f t="shared" si="383"/>
        <v>45291</v>
      </c>
      <c r="CO5" s="36">
        <f t="shared" si="383"/>
        <v>45292</v>
      </c>
      <c r="CP5" s="36">
        <f t="shared" si="383"/>
        <v>45293</v>
      </c>
      <c r="CQ5" s="36">
        <f t="shared" si="383"/>
        <v>45294</v>
      </c>
      <c r="CR5" s="36">
        <f t="shared" si="383"/>
        <v>45295</v>
      </c>
      <c r="CS5" s="36">
        <f t="shared" si="383"/>
        <v>45296</v>
      </c>
      <c r="CT5" s="36">
        <f t="shared" si="383"/>
        <v>45297</v>
      </c>
      <c r="CU5" s="36">
        <f t="shared" si="383"/>
        <v>45298</v>
      </c>
      <c r="CV5" s="36">
        <f t="shared" si="383"/>
        <v>45299</v>
      </c>
      <c r="CW5" s="36">
        <f t="shared" si="383"/>
        <v>45300</v>
      </c>
      <c r="CX5" s="36">
        <f t="shared" si="383"/>
        <v>45301</v>
      </c>
      <c r="CY5" s="36">
        <f t="shared" si="383"/>
        <v>45302</v>
      </c>
      <c r="CZ5" s="36">
        <f t="shared" si="383"/>
        <v>45303</v>
      </c>
      <c r="DA5" s="36">
        <f t="shared" si="383"/>
        <v>45304</v>
      </c>
      <c r="DB5" s="36">
        <f t="shared" si="383"/>
        <v>45305</v>
      </c>
      <c r="DC5" s="36">
        <f t="shared" si="383"/>
        <v>45306</v>
      </c>
      <c r="DD5" s="36">
        <f t="shared" si="383"/>
        <v>45307</v>
      </c>
      <c r="DE5" s="36">
        <f t="shared" si="383"/>
        <v>45308</v>
      </c>
      <c r="DF5" s="36">
        <f t="shared" si="383"/>
        <v>45309</v>
      </c>
      <c r="DG5" s="36">
        <f t="shared" si="383"/>
        <v>45310</v>
      </c>
      <c r="DH5" s="36">
        <f t="shared" si="383"/>
        <v>45311</v>
      </c>
      <c r="DI5" s="36">
        <f t="shared" si="383"/>
        <v>45312</v>
      </c>
      <c r="DJ5" s="36">
        <f t="shared" si="383"/>
        <v>45313</v>
      </c>
      <c r="DK5" s="36">
        <f t="shared" si="383"/>
        <v>45314</v>
      </c>
      <c r="DL5" s="36">
        <f t="shared" si="383"/>
        <v>45315</v>
      </c>
      <c r="DM5" s="36">
        <f t="shared" si="383"/>
        <v>45316</v>
      </c>
      <c r="DN5" s="36">
        <f t="shared" si="383"/>
        <v>45317</v>
      </c>
      <c r="DO5" s="36">
        <f t="shared" si="383"/>
        <v>45318</v>
      </c>
      <c r="DP5" s="36">
        <f t="shared" si="383"/>
        <v>45319</v>
      </c>
      <c r="DQ5" s="36">
        <f t="shared" si="383"/>
        <v>45320</v>
      </c>
      <c r="DR5" s="36">
        <f t="shared" si="383"/>
        <v>45321</v>
      </c>
      <c r="DS5" s="36">
        <f t="shared" si="383"/>
        <v>45322</v>
      </c>
      <c r="DT5" s="36">
        <f t="shared" si="383"/>
        <v>45323</v>
      </c>
      <c r="DU5" s="36">
        <f t="shared" si="383"/>
        <v>45324</v>
      </c>
      <c r="DV5" s="36">
        <f t="shared" si="383"/>
        <v>45325</v>
      </c>
      <c r="DW5" s="36">
        <f t="shared" si="383"/>
        <v>45326</v>
      </c>
      <c r="DX5" s="36">
        <f t="shared" si="383"/>
        <v>45327</v>
      </c>
      <c r="DY5" s="36">
        <f t="shared" si="383"/>
        <v>45328</v>
      </c>
      <c r="DZ5" s="36">
        <f t="shared" si="383"/>
        <v>45329</v>
      </c>
      <c r="EA5" s="36">
        <f t="shared" si="383"/>
        <v>45330</v>
      </c>
      <c r="EB5" s="36">
        <f t="shared" ref="EB5:GM5" si="384">EA5+1</f>
        <v>45331</v>
      </c>
      <c r="EC5" s="36">
        <f t="shared" si="384"/>
        <v>45332</v>
      </c>
      <c r="ED5" s="36">
        <f t="shared" si="384"/>
        <v>45333</v>
      </c>
      <c r="EE5" s="36">
        <f t="shared" si="384"/>
        <v>45334</v>
      </c>
      <c r="EF5" s="36">
        <f t="shared" si="384"/>
        <v>45335</v>
      </c>
      <c r="EG5" s="36">
        <f t="shared" si="384"/>
        <v>45336</v>
      </c>
      <c r="EH5" s="36">
        <f t="shared" si="384"/>
        <v>45337</v>
      </c>
      <c r="EI5" s="36">
        <f t="shared" si="384"/>
        <v>45338</v>
      </c>
      <c r="EJ5" s="36">
        <f t="shared" si="384"/>
        <v>45339</v>
      </c>
      <c r="EK5" s="36">
        <f t="shared" si="384"/>
        <v>45340</v>
      </c>
      <c r="EL5" s="36">
        <f t="shared" si="384"/>
        <v>45341</v>
      </c>
      <c r="EM5" s="36">
        <f t="shared" si="384"/>
        <v>45342</v>
      </c>
      <c r="EN5" s="36">
        <f t="shared" si="384"/>
        <v>45343</v>
      </c>
      <c r="EO5" s="36">
        <f t="shared" si="384"/>
        <v>45344</v>
      </c>
      <c r="EP5" s="36">
        <f t="shared" si="384"/>
        <v>45345</v>
      </c>
      <c r="EQ5" s="36">
        <f t="shared" si="384"/>
        <v>45346</v>
      </c>
      <c r="ER5" s="36">
        <f t="shared" si="384"/>
        <v>45347</v>
      </c>
      <c r="ES5" s="36">
        <f t="shared" si="384"/>
        <v>45348</v>
      </c>
      <c r="ET5" s="36">
        <f t="shared" si="384"/>
        <v>45349</v>
      </c>
      <c r="EU5" s="36">
        <f t="shared" si="384"/>
        <v>45350</v>
      </c>
      <c r="EV5" s="36">
        <f t="shared" si="384"/>
        <v>45351</v>
      </c>
      <c r="EW5" s="36">
        <f t="shared" si="384"/>
        <v>45352</v>
      </c>
      <c r="EX5" s="36">
        <f t="shared" si="384"/>
        <v>45353</v>
      </c>
      <c r="EY5" s="36">
        <f t="shared" si="384"/>
        <v>45354</v>
      </c>
      <c r="EZ5" s="36">
        <f t="shared" si="384"/>
        <v>45355</v>
      </c>
      <c r="FA5" s="36">
        <f t="shared" si="384"/>
        <v>45356</v>
      </c>
      <c r="FB5" s="36">
        <f t="shared" si="384"/>
        <v>45357</v>
      </c>
      <c r="FC5" s="36">
        <f t="shared" si="384"/>
        <v>45358</v>
      </c>
      <c r="FD5" s="36">
        <f t="shared" si="384"/>
        <v>45359</v>
      </c>
      <c r="FE5" s="36">
        <f t="shared" si="384"/>
        <v>45360</v>
      </c>
      <c r="FF5" s="36">
        <f t="shared" si="384"/>
        <v>45361</v>
      </c>
      <c r="FG5" s="36">
        <f t="shared" si="384"/>
        <v>45362</v>
      </c>
      <c r="FH5" s="36">
        <f t="shared" si="384"/>
        <v>45363</v>
      </c>
      <c r="FI5" s="36">
        <f t="shared" si="384"/>
        <v>45364</v>
      </c>
      <c r="FJ5" s="36">
        <f t="shared" si="384"/>
        <v>45365</v>
      </c>
      <c r="FK5" s="36">
        <f t="shared" si="384"/>
        <v>45366</v>
      </c>
      <c r="FL5" s="36">
        <f t="shared" si="384"/>
        <v>45367</v>
      </c>
      <c r="FM5" s="36">
        <f t="shared" si="384"/>
        <v>45368</v>
      </c>
      <c r="FN5" s="36">
        <f t="shared" si="384"/>
        <v>45369</v>
      </c>
      <c r="FO5" s="36">
        <f t="shared" si="384"/>
        <v>45370</v>
      </c>
      <c r="FP5" s="36">
        <f t="shared" si="384"/>
        <v>45371</v>
      </c>
      <c r="FQ5" s="36">
        <f t="shared" si="384"/>
        <v>45372</v>
      </c>
      <c r="FR5" s="36">
        <f t="shared" si="384"/>
        <v>45373</v>
      </c>
      <c r="FS5" s="36">
        <f t="shared" si="384"/>
        <v>45374</v>
      </c>
      <c r="FT5" s="36">
        <f t="shared" si="384"/>
        <v>45375</v>
      </c>
      <c r="FU5" s="36">
        <f t="shared" si="384"/>
        <v>45376</v>
      </c>
      <c r="FV5" s="36">
        <f t="shared" si="384"/>
        <v>45377</v>
      </c>
      <c r="FW5" s="36">
        <f t="shared" si="384"/>
        <v>45378</v>
      </c>
      <c r="FX5" s="36">
        <f t="shared" si="384"/>
        <v>45379</v>
      </c>
      <c r="FY5" s="36">
        <f t="shared" si="384"/>
        <v>45380</v>
      </c>
      <c r="FZ5" s="36">
        <f t="shared" si="384"/>
        <v>45381</v>
      </c>
      <c r="GA5" s="36">
        <f t="shared" si="384"/>
        <v>45382</v>
      </c>
      <c r="GB5" s="36">
        <f t="shared" si="384"/>
        <v>45383</v>
      </c>
      <c r="GC5" s="36">
        <f t="shared" si="384"/>
        <v>45384</v>
      </c>
      <c r="GD5" s="36">
        <f t="shared" si="384"/>
        <v>45385</v>
      </c>
      <c r="GE5" s="36">
        <f t="shared" si="384"/>
        <v>45386</v>
      </c>
      <c r="GF5" s="36">
        <f t="shared" si="384"/>
        <v>45387</v>
      </c>
      <c r="GG5" s="36">
        <f t="shared" si="384"/>
        <v>45388</v>
      </c>
      <c r="GH5" s="36">
        <f t="shared" si="384"/>
        <v>45389</v>
      </c>
      <c r="GI5" s="36">
        <f t="shared" si="384"/>
        <v>45390</v>
      </c>
      <c r="GJ5" s="36">
        <f t="shared" si="384"/>
        <v>45391</v>
      </c>
      <c r="GK5" s="36">
        <f t="shared" si="384"/>
        <v>45392</v>
      </c>
      <c r="GL5" s="36">
        <f t="shared" si="384"/>
        <v>45393</v>
      </c>
      <c r="GM5" s="36">
        <f t="shared" si="384"/>
        <v>45394</v>
      </c>
      <c r="GN5" s="36">
        <f t="shared" ref="GN5:IY5" si="385">GM5+1</f>
        <v>45395</v>
      </c>
      <c r="GO5" s="36">
        <f t="shared" si="385"/>
        <v>45396</v>
      </c>
      <c r="GP5" s="36">
        <f t="shared" si="385"/>
        <v>45397</v>
      </c>
      <c r="GQ5" s="36">
        <f t="shared" si="385"/>
        <v>45398</v>
      </c>
      <c r="GR5" s="36">
        <f t="shared" si="385"/>
        <v>45399</v>
      </c>
      <c r="GS5" s="36">
        <f t="shared" si="385"/>
        <v>45400</v>
      </c>
      <c r="GT5" s="36">
        <f t="shared" si="385"/>
        <v>45401</v>
      </c>
      <c r="GU5" s="36">
        <f t="shared" si="385"/>
        <v>45402</v>
      </c>
      <c r="GV5" s="36">
        <f t="shared" si="385"/>
        <v>45403</v>
      </c>
      <c r="GW5" s="36">
        <f t="shared" si="385"/>
        <v>45404</v>
      </c>
      <c r="GX5" s="36">
        <f t="shared" si="385"/>
        <v>45405</v>
      </c>
      <c r="GY5" s="36">
        <f t="shared" si="385"/>
        <v>45406</v>
      </c>
      <c r="GZ5" s="36">
        <f t="shared" si="385"/>
        <v>45407</v>
      </c>
      <c r="HA5" s="36">
        <f t="shared" si="385"/>
        <v>45408</v>
      </c>
      <c r="HB5" s="36">
        <f t="shared" si="385"/>
        <v>45409</v>
      </c>
      <c r="HC5" s="36">
        <f t="shared" si="385"/>
        <v>45410</v>
      </c>
      <c r="HD5" s="36">
        <f t="shared" si="385"/>
        <v>45411</v>
      </c>
      <c r="HE5" s="36">
        <f t="shared" si="385"/>
        <v>45412</v>
      </c>
      <c r="HF5" s="36">
        <f t="shared" si="385"/>
        <v>45413</v>
      </c>
      <c r="HG5" s="36">
        <f t="shared" si="385"/>
        <v>45414</v>
      </c>
      <c r="HH5" s="36">
        <f t="shared" si="385"/>
        <v>45415</v>
      </c>
      <c r="HI5" s="36">
        <f t="shared" si="385"/>
        <v>45416</v>
      </c>
      <c r="HJ5" s="36">
        <f t="shared" si="385"/>
        <v>45417</v>
      </c>
      <c r="HK5" s="36">
        <f t="shared" si="385"/>
        <v>45418</v>
      </c>
      <c r="HL5" s="36">
        <f t="shared" si="385"/>
        <v>45419</v>
      </c>
      <c r="HM5" s="36">
        <f t="shared" si="385"/>
        <v>45420</v>
      </c>
      <c r="HN5" s="36">
        <f t="shared" si="385"/>
        <v>45421</v>
      </c>
      <c r="HO5" s="36">
        <f t="shared" si="385"/>
        <v>45422</v>
      </c>
      <c r="HP5" s="36">
        <f t="shared" si="385"/>
        <v>45423</v>
      </c>
      <c r="HQ5" s="36">
        <f t="shared" si="385"/>
        <v>45424</v>
      </c>
      <c r="HR5" s="36">
        <f t="shared" si="385"/>
        <v>45425</v>
      </c>
      <c r="HS5" s="36">
        <f t="shared" si="385"/>
        <v>45426</v>
      </c>
      <c r="HT5" s="36">
        <f t="shared" si="385"/>
        <v>45427</v>
      </c>
      <c r="HU5" s="36">
        <f t="shared" si="385"/>
        <v>45428</v>
      </c>
      <c r="HV5" s="36">
        <f t="shared" si="385"/>
        <v>45429</v>
      </c>
      <c r="HW5" s="36">
        <f t="shared" si="385"/>
        <v>45430</v>
      </c>
      <c r="HX5" s="36">
        <f t="shared" si="385"/>
        <v>45431</v>
      </c>
      <c r="HY5" s="36">
        <f t="shared" si="385"/>
        <v>45432</v>
      </c>
      <c r="HZ5" s="36">
        <f t="shared" si="385"/>
        <v>45433</v>
      </c>
      <c r="IA5" s="36">
        <f t="shared" si="385"/>
        <v>45434</v>
      </c>
      <c r="IB5" s="36">
        <f t="shared" si="385"/>
        <v>45435</v>
      </c>
      <c r="IC5" s="36">
        <f t="shared" si="385"/>
        <v>45436</v>
      </c>
      <c r="ID5" s="36">
        <f t="shared" si="385"/>
        <v>45437</v>
      </c>
      <c r="IE5" s="36">
        <f t="shared" si="385"/>
        <v>45438</v>
      </c>
      <c r="IF5" s="36">
        <f t="shared" si="385"/>
        <v>45439</v>
      </c>
      <c r="IG5" s="36">
        <f t="shared" si="385"/>
        <v>45440</v>
      </c>
      <c r="IH5" s="36">
        <f t="shared" si="385"/>
        <v>45441</v>
      </c>
      <c r="II5" s="36">
        <f t="shared" si="385"/>
        <v>45442</v>
      </c>
      <c r="IJ5" s="36">
        <f t="shared" si="385"/>
        <v>45443</v>
      </c>
      <c r="IK5" s="36">
        <f t="shared" si="385"/>
        <v>45444</v>
      </c>
      <c r="IL5" s="36">
        <f t="shared" si="385"/>
        <v>45445</v>
      </c>
      <c r="IM5" s="36">
        <f t="shared" si="385"/>
        <v>45446</v>
      </c>
      <c r="IN5" s="36">
        <f t="shared" si="385"/>
        <v>45447</v>
      </c>
      <c r="IO5" s="36">
        <f t="shared" si="385"/>
        <v>45448</v>
      </c>
      <c r="IP5" s="36">
        <f t="shared" si="385"/>
        <v>45449</v>
      </c>
      <c r="IQ5" s="36">
        <f t="shared" si="385"/>
        <v>45450</v>
      </c>
      <c r="IR5" s="36">
        <f t="shared" si="385"/>
        <v>45451</v>
      </c>
      <c r="IS5" s="36">
        <f t="shared" si="385"/>
        <v>45452</v>
      </c>
      <c r="IT5" s="36">
        <f t="shared" si="385"/>
        <v>45453</v>
      </c>
      <c r="IU5" s="36">
        <f t="shared" si="385"/>
        <v>45454</v>
      </c>
      <c r="IV5" s="36">
        <f t="shared" si="385"/>
        <v>45455</v>
      </c>
      <c r="IW5" s="36">
        <f t="shared" si="385"/>
        <v>45456</v>
      </c>
      <c r="IX5" s="36">
        <f t="shared" si="385"/>
        <v>45457</v>
      </c>
      <c r="IY5" s="36">
        <f t="shared" si="385"/>
        <v>45458</v>
      </c>
      <c r="IZ5" s="36">
        <f t="shared" ref="IZ5:LK5" si="386">IY5+1</f>
        <v>45459</v>
      </c>
      <c r="JA5" s="36">
        <f t="shared" si="386"/>
        <v>45460</v>
      </c>
      <c r="JB5" s="36">
        <f t="shared" si="386"/>
        <v>45461</v>
      </c>
      <c r="JC5" s="36">
        <f t="shared" si="386"/>
        <v>45462</v>
      </c>
      <c r="JD5" s="36">
        <f t="shared" si="386"/>
        <v>45463</v>
      </c>
      <c r="JE5" s="36">
        <f t="shared" si="386"/>
        <v>45464</v>
      </c>
      <c r="JF5" s="36">
        <f t="shared" si="386"/>
        <v>45465</v>
      </c>
      <c r="JG5" s="36">
        <f t="shared" si="386"/>
        <v>45466</v>
      </c>
      <c r="JH5" s="36">
        <f t="shared" si="386"/>
        <v>45467</v>
      </c>
      <c r="JI5" s="36">
        <f t="shared" si="386"/>
        <v>45468</v>
      </c>
      <c r="JJ5" s="36">
        <f t="shared" si="386"/>
        <v>45469</v>
      </c>
      <c r="JK5" s="36">
        <f t="shared" si="386"/>
        <v>45470</v>
      </c>
      <c r="JL5" s="36">
        <f t="shared" si="386"/>
        <v>45471</v>
      </c>
      <c r="JM5" s="36">
        <f t="shared" si="386"/>
        <v>45472</v>
      </c>
      <c r="JN5" s="36">
        <f t="shared" si="386"/>
        <v>45473</v>
      </c>
      <c r="JO5" s="36">
        <f t="shared" si="386"/>
        <v>45474</v>
      </c>
      <c r="JP5" s="36">
        <f t="shared" si="386"/>
        <v>45475</v>
      </c>
      <c r="JQ5" s="36">
        <f t="shared" si="386"/>
        <v>45476</v>
      </c>
      <c r="JR5" s="36">
        <f t="shared" si="386"/>
        <v>45477</v>
      </c>
      <c r="JS5" s="36">
        <f t="shared" si="386"/>
        <v>45478</v>
      </c>
      <c r="JT5" s="36">
        <f t="shared" si="386"/>
        <v>45479</v>
      </c>
      <c r="JU5" s="36">
        <f t="shared" si="386"/>
        <v>45480</v>
      </c>
      <c r="JV5" s="36">
        <f t="shared" si="386"/>
        <v>45481</v>
      </c>
      <c r="JW5" s="36">
        <f t="shared" si="386"/>
        <v>45482</v>
      </c>
      <c r="JX5" s="36">
        <f t="shared" si="386"/>
        <v>45483</v>
      </c>
      <c r="JY5" s="36">
        <f t="shared" si="386"/>
        <v>45484</v>
      </c>
      <c r="JZ5" s="36">
        <f t="shared" si="386"/>
        <v>45485</v>
      </c>
      <c r="KA5" s="36">
        <f t="shared" si="386"/>
        <v>45486</v>
      </c>
      <c r="KB5" s="36">
        <f t="shared" si="386"/>
        <v>45487</v>
      </c>
      <c r="KC5" s="36">
        <f t="shared" si="386"/>
        <v>45488</v>
      </c>
      <c r="KD5" s="36">
        <f t="shared" si="386"/>
        <v>45489</v>
      </c>
      <c r="KE5" s="36">
        <f t="shared" si="386"/>
        <v>45490</v>
      </c>
      <c r="KF5" s="36">
        <f t="shared" si="386"/>
        <v>45491</v>
      </c>
      <c r="KG5" s="36">
        <f t="shared" si="386"/>
        <v>45492</v>
      </c>
      <c r="KH5" s="36">
        <f t="shared" si="386"/>
        <v>45493</v>
      </c>
      <c r="KI5" s="36">
        <f t="shared" si="386"/>
        <v>45494</v>
      </c>
      <c r="KJ5" s="36">
        <f t="shared" si="386"/>
        <v>45495</v>
      </c>
      <c r="KK5" s="36">
        <f t="shared" si="386"/>
        <v>45496</v>
      </c>
      <c r="KL5" s="36">
        <f t="shared" si="386"/>
        <v>45497</v>
      </c>
      <c r="KM5" s="36">
        <f t="shared" si="386"/>
        <v>45498</v>
      </c>
      <c r="KN5" s="36">
        <f t="shared" si="386"/>
        <v>45499</v>
      </c>
      <c r="KO5" s="36">
        <f t="shared" si="386"/>
        <v>45500</v>
      </c>
      <c r="KP5" s="36">
        <f t="shared" si="386"/>
        <v>45501</v>
      </c>
      <c r="KQ5" s="36">
        <f t="shared" si="386"/>
        <v>45502</v>
      </c>
      <c r="KR5" s="36">
        <f t="shared" si="386"/>
        <v>45503</v>
      </c>
      <c r="KS5" s="36">
        <f t="shared" si="386"/>
        <v>45504</v>
      </c>
      <c r="KT5" s="36">
        <f t="shared" si="386"/>
        <v>45505</v>
      </c>
      <c r="KU5" s="36">
        <f t="shared" si="386"/>
        <v>45506</v>
      </c>
      <c r="KV5" s="36">
        <f t="shared" si="386"/>
        <v>45507</v>
      </c>
      <c r="KW5" s="36">
        <f t="shared" si="386"/>
        <v>45508</v>
      </c>
      <c r="KX5" s="36">
        <f t="shared" si="386"/>
        <v>45509</v>
      </c>
      <c r="KY5" s="36">
        <f t="shared" si="386"/>
        <v>45510</v>
      </c>
      <c r="KZ5" s="36">
        <f t="shared" si="386"/>
        <v>45511</v>
      </c>
      <c r="LA5" s="36">
        <f t="shared" si="386"/>
        <v>45512</v>
      </c>
      <c r="LB5" s="36">
        <f t="shared" si="386"/>
        <v>45513</v>
      </c>
      <c r="LC5" s="36">
        <f t="shared" si="386"/>
        <v>45514</v>
      </c>
      <c r="LD5" s="36">
        <f t="shared" si="386"/>
        <v>45515</v>
      </c>
      <c r="LE5" s="36">
        <f t="shared" si="386"/>
        <v>45516</v>
      </c>
      <c r="LF5" s="36">
        <f t="shared" si="386"/>
        <v>45517</v>
      </c>
      <c r="LG5" s="36">
        <f t="shared" si="386"/>
        <v>45518</v>
      </c>
      <c r="LH5" s="36">
        <f t="shared" si="386"/>
        <v>45519</v>
      </c>
      <c r="LI5" s="36">
        <f t="shared" si="386"/>
        <v>45520</v>
      </c>
      <c r="LJ5" s="36">
        <f t="shared" si="386"/>
        <v>45521</v>
      </c>
      <c r="LK5" s="36">
        <f t="shared" si="386"/>
        <v>45522</v>
      </c>
      <c r="LL5" s="36">
        <f t="shared" ref="LL5:NA5" si="387">LK5+1</f>
        <v>45523</v>
      </c>
      <c r="LM5" s="36">
        <f t="shared" si="387"/>
        <v>45524</v>
      </c>
      <c r="LN5" s="36">
        <f t="shared" si="387"/>
        <v>45525</v>
      </c>
      <c r="LO5" s="36">
        <f t="shared" si="387"/>
        <v>45526</v>
      </c>
      <c r="LP5" s="36">
        <f t="shared" si="387"/>
        <v>45527</v>
      </c>
      <c r="LQ5" s="36">
        <f t="shared" si="387"/>
        <v>45528</v>
      </c>
      <c r="LR5" s="36">
        <f t="shared" si="387"/>
        <v>45529</v>
      </c>
      <c r="LS5" s="36">
        <f t="shared" si="387"/>
        <v>45530</v>
      </c>
      <c r="LT5" s="36">
        <f t="shared" si="387"/>
        <v>45531</v>
      </c>
      <c r="LU5" s="36">
        <f t="shared" si="387"/>
        <v>45532</v>
      </c>
      <c r="LV5" s="36">
        <f t="shared" si="387"/>
        <v>45533</v>
      </c>
      <c r="LW5" s="36">
        <f t="shared" si="387"/>
        <v>45534</v>
      </c>
      <c r="LX5" s="36">
        <f t="shared" si="387"/>
        <v>45535</v>
      </c>
      <c r="LY5" s="36">
        <f t="shared" si="387"/>
        <v>45536</v>
      </c>
      <c r="LZ5" s="36">
        <f t="shared" si="387"/>
        <v>45537</v>
      </c>
      <c r="MA5" s="36">
        <f t="shared" si="387"/>
        <v>45538</v>
      </c>
      <c r="MB5" s="36">
        <f t="shared" si="387"/>
        <v>45539</v>
      </c>
      <c r="MC5" s="36">
        <f t="shared" si="387"/>
        <v>45540</v>
      </c>
      <c r="MD5" s="36">
        <f t="shared" si="387"/>
        <v>45541</v>
      </c>
      <c r="ME5" s="36">
        <f t="shared" si="387"/>
        <v>45542</v>
      </c>
      <c r="MF5" s="36">
        <f t="shared" si="387"/>
        <v>45543</v>
      </c>
      <c r="MG5" s="36">
        <f t="shared" si="387"/>
        <v>45544</v>
      </c>
      <c r="MH5" s="36">
        <f t="shared" si="387"/>
        <v>45545</v>
      </c>
      <c r="MI5" s="36">
        <f t="shared" si="387"/>
        <v>45546</v>
      </c>
      <c r="MJ5" s="36">
        <f t="shared" si="387"/>
        <v>45547</v>
      </c>
      <c r="MK5" s="36">
        <f t="shared" si="387"/>
        <v>45548</v>
      </c>
      <c r="ML5" s="36">
        <f t="shared" si="387"/>
        <v>45549</v>
      </c>
      <c r="MM5" s="36">
        <f t="shared" si="387"/>
        <v>45550</v>
      </c>
      <c r="MN5" s="36">
        <f t="shared" si="387"/>
        <v>45551</v>
      </c>
      <c r="MO5" s="36">
        <f t="shared" si="387"/>
        <v>45552</v>
      </c>
      <c r="MP5" s="36">
        <f t="shared" si="387"/>
        <v>45553</v>
      </c>
      <c r="MQ5" s="36">
        <f t="shared" si="387"/>
        <v>45554</v>
      </c>
      <c r="MR5" s="36">
        <f t="shared" si="387"/>
        <v>45555</v>
      </c>
      <c r="MS5" s="36">
        <f t="shared" si="387"/>
        <v>45556</v>
      </c>
      <c r="MT5" s="36">
        <f t="shared" si="387"/>
        <v>45557</v>
      </c>
      <c r="MU5" s="36">
        <f t="shared" si="387"/>
        <v>45558</v>
      </c>
      <c r="MV5" s="36">
        <f t="shared" si="387"/>
        <v>45559</v>
      </c>
      <c r="MW5" s="36">
        <f t="shared" si="387"/>
        <v>45560</v>
      </c>
      <c r="MX5" s="36">
        <f t="shared" si="387"/>
        <v>45561</v>
      </c>
      <c r="MY5" s="36">
        <f t="shared" si="387"/>
        <v>45562</v>
      </c>
      <c r="MZ5" s="36">
        <f t="shared" si="387"/>
        <v>45563</v>
      </c>
      <c r="NA5" s="36">
        <f t="shared" si="387"/>
        <v>45564</v>
      </c>
    </row>
    <row r="6" spans="1:365" s="82" customFormat="1" ht="0.75" customHeight="1" thickBot="1" x14ac:dyDescent="0.3">
      <c r="A6" s="83" t="s">
        <v>63</v>
      </c>
      <c r="B6" s="84" t="s">
        <v>64</v>
      </c>
      <c r="C6" s="85" t="s">
        <v>65</v>
      </c>
      <c r="D6" s="85" t="s">
        <v>66</v>
      </c>
      <c r="E6" s="85" t="s">
        <v>67</v>
      </c>
      <c r="F6" s="85" t="s">
        <v>68</v>
      </c>
      <c r="G6" s="85" t="s">
        <v>69</v>
      </c>
      <c r="H6" s="85" t="s">
        <v>70</v>
      </c>
      <c r="I6" s="85" t="s">
        <v>71</v>
      </c>
      <c r="J6" s="85" t="s">
        <v>72</v>
      </c>
      <c r="K6" s="85" t="s">
        <v>73</v>
      </c>
      <c r="L6" s="85" t="s">
        <v>74</v>
      </c>
      <c r="M6" s="85" t="s">
        <v>75</v>
      </c>
      <c r="N6" s="85" t="s">
        <v>76</v>
      </c>
      <c r="O6" s="85" t="s">
        <v>77</v>
      </c>
      <c r="P6" s="85" t="s">
        <v>78</v>
      </c>
      <c r="Q6" s="85" t="s">
        <v>79</v>
      </c>
      <c r="R6" s="85" t="s">
        <v>80</v>
      </c>
      <c r="S6" s="85" t="s">
        <v>81</v>
      </c>
      <c r="T6" s="85" t="s">
        <v>82</v>
      </c>
      <c r="U6" s="85" t="s">
        <v>83</v>
      </c>
      <c r="V6" s="85" t="s">
        <v>84</v>
      </c>
      <c r="W6" s="85" t="s">
        <v>85</v>
      </c>
      <c r="X6" s="85" t="s">
        <v>86</v>
      </c>
      <c r="Y6" s="85" t="s">
        <v>87</v>
      </c>
      <c r="Z6" s="85" t="s">
        <v>88</v>
      </c>
      <c r="AA6" s="85" t="s">
        <v>89</v>
      </c>
      <c r="AB6" s="85" t="s">
        <v>90</v>
      </c>
      <c r="AC6" s="85" t="s">
        <v>91</v>
      </c>
      <c r="AD6" s="85" t="s">
        <v>92</v>
      </c>
      <c r="AE6" s="85" t="s">
        <v>93</v>
      </c>
      <c r="AF6" s="85" t="s">
        <v>94</v>
      </c>
      <c r="AG6" s="85" t="s">
        <v>95</v>
      </c>
      <c r="AH6" s="85" t="s">
        <v>96</v>
      </c>
      <c r="AI6" s="85" t="s">
        <v>97</v>
      </c>
      <c r="AJ6" s="85" t="s">
        <v>98</v>
      </c>
      <c r="AK6" s="85" t="s">
        <v>99</v>
      </c>
      <c r="AL6" s="85" t="s">
        <v>100</v>
      </c>
      <c r="AM6" s="85" t="s">
        <v>101</v>
      </c>
      <c r="AN6" s="85" t="s">
        <v>102</v>
      </c>
      <c r="AO6" s="85" t="s">
        <v>103</v>
      </c>
      <c r="AP6" s="85" t="s">
        <v>104</v>
      </c>
      <c r="AQ6" s="85" t="s">
        <v>105</v>
      </c>
      <c r="AR6" s="85" t="s">
        <v>106</v>
      </c>
      <c r="AS6" s="85" t="s">
        <v>107</v>
      </c>
      <c r="AT6" s="85" t="s">
        <v>108</v>
      </c>
      <c r="AU6" s="85" t="s">
        <v>109</v>
      </c>
      <c r="AV6" s="85" t="s">
        <v>110</v>
      </c>
      <c r="AW6" s="85" t="s">
        <v>111</v>
      </c>
      <c r="AX6" s="85" t="s">
        <v>112</v>
      </c>
      <c r="AY6" s="85" t="s">
        <v>113</v>
      </c>
      <c r="AZ6" s="85" t="s">
        <v>114</v>
      </c>
      <c r="BA6" s="85" t="s">
        <v>115</v>
      </c>
      <c r="BB6" s="85" t="s">
        <v>116</v>
      </c>
      <c r="BC6" s="85" t="s">
        <v>117</v>
      </c>
      <c r="BD6" s="85" t="s">
        <v>118</v>
      </c>
      <c r="BE6" s="85" t="s">
        <v>119</v>
      </c>
      <c r="BF6" s="85" t="s">
        <v>120</v>
      </c>
      <c r="BG6" s="85" t="s">
        <v>121</v>
      </c>
      <c r="BH6" s="85" t="s">
        <v>122</v>
      </c>
      <c r="BI6" s="85" t="s">
        <v>123</v>
      </c>
      <c r="BJ6" s="85" t="s">
        <v>124</v>
      </c>
      <c r="BK6" s="85" t="s">
        <v>125</v>
      </c>
      <c r="BL6" s="85" t="s">
        <v>126</v>
      </c>
      <c r="BM6" s="85" t="s">
        <v>127</v>
      </c>
      <c r="BN6" s="85" t="s">
        <v>128</v>
      </c>
      <c r="BO6" s="85" t="s">
        <v>129</v>
      </c>
      <c r="BP6" s="85" t="s">
        <v>130</v>
      </c>
      <c r="BQ6" s="85" t="s">
        <v>131</v>
      </c>
      <c r="BR6" s="85" t="s">
        <v>132</v>
      </c>
      <c r="BS6" s="85" t="s">
        <v>133</v>
      </c>
      <c r="BT6" s="85" t="s">
        <v>134</v>
      </c>
      <c r="BU6" s="85" t="s">
        <v>135</v>
      </c>
      <c r="BV6" s="85" t="s">
        <v>136</v>
      </c>
      <c r="BW6" s="85" t="s">
        <v>137</v>
      </c>
      <c r="BX6" s="85" t="s">
        <v>138</v>
      </c>
      <c r="BY6" s="85" t="s">
        <v>139</v>
      </c>
      <c r="BZ6" s="85" t="s">
        <v>140</v>
      </c>
      <c r="CA6" s="85" t="s">
        <v>141</v>
      </c>
      <c r="CB6" s="85" t="s">
        <v>142</v>
      </c>
      <c r="CC6" s="85" t="s">
        <v>143</v>
      </c>
      <c r="CD6" s="85" t="s">
        <v>144</v>
      </c>
      <c r="CE6" s="85" t="s">
        <v>145</v>
      </c>
      <c r="CF6" s="85" t="s">
        <v>146</v>
      </c>
      <c r="CG6" s="85" t="s">
        <v>147</v>
      </c>
      <c r="CH6" s="85" t="s">
        <v>148</v>
      </c>
      <c r="CI6" s="85" t="s">
        <v>149</v>
      </c>
      <c r="CJ6" s="85" t="s">
        <v>150</v>
      </c>
      <c r="CK6" s="85" t="s">
        <v>151</v>
      </c>
      <c r="CL6" s="85" t="s">
        <v>152</v>
      </c>
      <c r="CM6" s="85" t="s">
        <v>153</v>
      </c>
      <c r="CN6" s="85" t="s">
        <v>154</v>
      </c>
      <c r="CO6" s="85" t="s">
        <v>155</v>
      </c>
      <c r="CP6" s="85" t="s">
        <v>156</v>
      </c>
      <c r="CQ6" s="85" t="s">
        <v>157</v>
      </c>
      <c r="CR6" s="85" t="s">
        <v>158</v>
      </c>
      <c r="CS6" s="85" t="s">
        <v>159</v>
      </c>
      <c r="CT6" s="85" t="s">
        <v>160</v>
      </c>
      <c r="CU6" s="85" t="s">
        <v>161</v>
      </c>
      <c r="CV6" s="85" t="s">
        <v>162</v>
      </c>
      <c r="CW6" s="85" t="s">
        <v>163</v>
      </c>
      <c r="CX6" s="85" t="s">
        <v>164</v>
      </c>
      <c r="CY6" s="85" t="s">
        <v>165</v>
      </c>
      <c r="CZ6" s="85" t="s">
        <v>166</v>
      </c>
      <c r="DA6" s="85" t="s">
        <v>167</v>
      </c>
      <c r="DB6" s="85" t="s">
        <v>168</v>
      </c>
      <c r="DC6" s="85" t="s">
        <v>169</v>
      </c>
      <c r="DD6" s="85" t="s">
        <v>170</v>
      </c>
      <c r="DE6" s="85" t="s">
        <v>171</v>
      </c>
      <c r="DF6" s="85" t="s">
        <v>172</v>
      </c>
      <c r="DG6" s="85" t="s">
        <v>173</v>
      </c>
      <c r="DH6" s="85" t="s">
        <v>174</v>
      </c>
      <c r="DI6" s="85" t="s">
        <v>175</v>
      </c>
      <c r="DJ6" s="85" t="s">
        <v>176</v>
      </c>
      <c r="DK6" s="85" t="s">
        <v>177</v>
      </c>
      <c r="DL6" s="85" t="s">
        <v>178</v>
      </c>
      <c r="DM6" s="85" t="s">
        <v>179</v>
      </c>
      <c r="DN6" s="85" t="s">
        <v>180</v>
      </c>
      <c r="DO6" s="85" t="s">
        <v>181</v>
      </c>
      <c r="DP6" s="85" t="s">
        <v>182</v>
      </c>
      <c r="DQ6" s="85" t="s">
        <v>183</v>
      </c>
      <c r="DR6" s="85" t="s">
        <v>184</v>
      </c>
      <c r="DS6" s="85" t="s">
        <v>185</v>
      </c>
      <c r="DT6" s="85" t="s">
        <v>186</v>
      </c>
      <c r="DU6" s="85" t="s">
        <v>187</v>
      </c>
      <c r="DV6" s="85" t="s">
        <v>188</v>
      </c>
      <c r="DW6" s="85" t="s">
        <v>189</v>
      </c>
      <c r="DX6" s="85" t="s">
        <v>190</v>
      </c>
      <c r="DY6" s="85" t="s">
        <v>191</v>
      </c>
      <c r="DZ6" s="85" t="s">
        <v>192</v>
      </c>
      <c r="EA6" s="85" t="s">
        <v>193</v>
      </c>
      <c r="EB6" s="85" t="s">
        <v>194</v>
      </c>
      <c r="EC6" s="85" t="s">
        <v>195</v>
      </c>
      <c r="ED6" s="85" t="s">
        <v>196</v>
      </c>
      <c r="EE6" s="85" t="s">
        <v>197</v>
      </c>
      <c r="EF6" s="85" t="s">
        <v>198</v>
      </c>
      <c r="EG6" s="85" t="s">
        <v>199</v>
      </c>
      <c r="EH6" s="85" t="s">
        <v>200</v>
      </c>
      <c r="EI6" s="85" t="s">
        <v>201</v>
      </c>
      <c r="EJ6" s="85" t="s">
        <v>202</v>
      </c>
      <c r="EK6" s="85" t="s">
        <v>203</v>
      </c>
      <c r="EL6" s="85" t="s">
        <v>204</v>
      </c>
      <c r="EM6" s="85" t="s">
        <v>205</v>
      </c>
      <c r="EN6" s="85" t="s">
        <v>206</v>
      </c>
      <c r="EO6" s="85" t="s">
        <v>207</v>
      </c>
      <c r="EP6" s="85" t="s">
        <v>208</v>
      </c>
      <c r="EQ6" s="85" t="s">
        <v>209</v>
      </c>
      <c r="ER6" s="85" t="s">
        <v>210</v>
      </c>
      <c r="ES6" s="85" t="s">
        <v>211</v>
      </c>
      <c r="ET6" s="85" t="s">
        <v>212</v>
      </c>
      <c r="EU6" s="85" t="s">
        <v>213</v>
      </c>
      <c r="EV6" s="85" t="s">
        <v>214</v>
      </c>
      <c r="EW6" s="85" t="s">
        <v>215</v>
      </c>
      <c r="EX6" s="85" t="s">
        <v>216</v>
      </c>
      <c r="EY6" s="85" t="s">
        <v>217</v>
      </c>
      <c r="EZ6" s="85" t="s">
        <v>218</v>
      </c>
      <c r="FA6" s="85" t="s">
        <v>219</v>
      </c>
      <c r="FB6" s="85" t="s">
        <v>220</v>
      </c>
      <c r="FC6" s="85" t="s">
        <v>221</v>
      </c>
      <c r="FD6" s="85" t="s">
        <v>222</v>
      </c>
      <c r="FE6" s="85" t="s">
        <v>223</v>
      </c>
      <c r="FF6" s="85" t="s">
        <v>224</v>
      </c>
      <c r="FG6" s="85" t="s">
        <v>225</v>
      </c>
      <c r="FH6" s="85" t="s">
        <v>226</v>
      </c>
      <c r="FI6" s="85" t="s">
        <v>227</v>
      </c>
      <c r="FJ6" s="85" t="s">
        <v>228</v>
      </c>
      <c r="FK6" s="85" t="s">
        <v>229</v>
      </c>
      <c r="FL6" s="85" t="s">
        <v>230</v>
      </c>
      <c r="FM6" s="85" t="s">
        <v>231</v>
      </c>
      <c r="FN6" s="85" t="s">
        <v>232</v>
      </c>
      <c r="FO6" s="85" t="s">
        <v>233</v>
      </c>
      <c r="FP6" s="85" t="s">
        <v>234</v>
      </c>
      <c r="FQ6" s="85" t="s">
        <v>235</v>
      </c>
      <c r="FR6" s="85" t="s">
        <v>236</v>
      </c>
      <c r="FS6" s="85" t="s">
        <v>237</v>
      </c>
      <c r="FT6" s="85" t="s">
        <v>238</v>
      </c>
      <c r="FU6" s="85" t="s">
        <v>239</v>
      </c>
      <c r="FV6" s="85" t="s">
        <v>240</v>
      </c>
      <c r="FW6" s="85" t="s">
        <v>241</v>
      </c>
      <c r="FX6" s="85" t="s">
        <v>242</v>
      </c>
      <c r="FY6" s="85" t="s">
        <v>243</v>
      </c>
      <c r="FZ6" s="85" t="s">
        <v>244</v>
      </c>
      <c r="GA6" s="85" t="s">
        <v>245</v>
      </c>
      <c r="GB6" s="85" t="s">
        <v>246</v>
      </c>
      <c r="GC6" s="85" t="s">
        <v>247</v>
      </c>
      <c r="GD6" s="85" t="s">
        <v>248</v>
      </c>
      <c r="GE6" s="85" t="s">
        <v>249</v>
      </c>
      <c r="GF6" s="85" t="s">
        <v>250</v>
      </c>
      <c r="GG6" s="85" t="s">
        <v>251</v>
      </c>
      <c r="GH6" s="85" t="s">
        <v>252</v>
      </c>
      <c r="GI6" s="85" t="s">
        <v>253</v>
      </c>
      <c r="GJ6" s="85" t="s">
        <v>254</v>
      </c>
      <c r="GK6" s="85" t="s">
        <v>255</v>
      </c>
      <c r="GL6" s="85" t="s">
        <v>256</v>
      </c>
      <c r="GM6" s="85" t="s">
        <v>257</v>
      </c>
      <c r="GN6" s="85" t="s">
        <v>258</v>
      </c>
      <c r="GO6" s="85" t="s">
        <v>259</v>
      </c>
      <c r="GP6" s="85" t="s">
        <v>260</v>
      </c>
      <c r="GQ6" s="85" t="s">
        <v>261</v>
      </c>
      <c r="GR6" s="85" t="s">
        <v>262</v>
      </c>
      <c r="GS6" s="85" t="s">
        <v>263</v>
      </c>
      <c r="GT6" s="85" t="s">
        <v>264</v>
      </c>
      <c r="GU6" s="85" t="s">
        <v>265</v>
      </c>
      <c r="GV6" s="85" t="s">
        <v>266</v>
      </c>
      <c r="GW6" s="85" t="s">
        <v>267</v>
      </c>
      <c r="GX6" s="85" t="s">
        <v>268</v>
      </c>
      <c r="GY6" s="85" t="s">
        <v>269</v>
      </c>
      <c r="GZ6" s="85" t="s">
        <v>270</v>
      </c>
      <c r="HA6" s="85" t="s">
        <v>271</v>
      </c>
      <c r="HB6" s="85" t="s">
        <v>272</v>
      </c>
      <c r="HC6" s="85" t="s">
        <v>273</v>
      </c>
      <c r="HD6" s="85" t="s">
        <v>274</v>
      </c>
      <c r="HE6" s="85" t="s">
        <v>275</v>
      </c>
      <c r="HF6" s="85" t="s">
        <v>276</v>
      </c>
      <c r="HG6" s="85" t="s">
        <v>277</v>
      </c>
      <c r="HH6" s="85" t="s">
        <v>278</v>
      </c>
      <c r="HI6" s="85" t="s">
        <v>279</v>
      </c>
      <c r="HJ6" s="85" t="s">
        <v>280</v>
      </c>
      <c r="HK6" s="85" t="s">
        <v>281</v>
      </c>
      <c r="HL6" s="85" t="s">
        <v>282</v>
      </c>
      <c r="HM6" s="85" t="s">
        <v>283</v>
      </c>
      <c r="HN6" s="85" t="s">
        <v>284</v>
      </c>
      <c r="HO6" s="85" t="s">
        <v>285</v>
      </c>
      <c r="HP6" s="85" t="s">
        <v>286</v>
      </c>
      <c r="HQ6" s="85" t="s">
        <v>287</v>
      </c>
      <c r="HR6" s="85" t="s">
        <v>288</v>
      </c>
      <c r="HS6" s="85" t="s">
        <v>289</v>
      </c>
      <c r="HT6" s="85" t="s">
        <v>290</v>
      </c>
      <c r="HU6" s="85" t="s">
        <v>291</v>
      </c>
      <c r="HV6" s="85" t="s">
        <v>292</v>
      </c>
      <c r="HW6" s="85" t="s">
        <v>293</v>
      </c>
      <c r="HX6" s="85" t="s">
        <v>294</v>
      </c>
      <c r="HY6" s="85" t="s">
        <v>295</v>
      </c>
      <c r="HZ6" s="85" t="s">
        <v>296</v>
      </c>
      <c r="IA6" s="85" t="s">
        <v>297</v>
      </c>
      <c r="IB6" s="85" t="s">
        <v>298</v>
      </c>
      <c r="IC6" s="85" t="s">
        <v>299</v>
      </c>
      <c r="ID6" s="85" t="s">
        <v>300</v>
      </c>
      <c r="IE6" s="85" t="s">
        <v>301</v>
      </c>
      <c r="IF6" s="85" t="s">
        <v>302</v>
      </c>
      <c r="IG6" s="85" t="s">
        <v>303</v>
      </c>
      <c r="IH6" s="85" t="s">
        <v>304</v>
      </c>
      <c r="II6" s="85" t="s">
        <v>305</v>
      </c>
      <c r="IJ6" s="85" t="s">
        <v>306</v>
      </c>
      <c r="IK6" s="85" t="s">
        <v>307</v>
      </c>
      <c r="IL6" s="85" t="s">
        <v>308</v>
      </c>
      <c r="IM6" s="85" t="s">
        <v>309</v>
      </c>
      <c r="IN6" s="85" t="s">
        <v>310</v>
      </c>
      <c r="IO6" s="85" t="s">
        <v>311</v>
      </c>
      <c r="IP6" s="85" t="s">
        <v>312</v>
      </c>
      <c r="IQ6" s="85" t="s">
        <v>313</v>
      </c>
      <c r="IR6" s="85" t="s">
        <v>314</v>
      </c>
      <c r="IS6" s="85" t="s">
        <v>315</v>
      </c>
      <c r="IT6" s="85" t="s">
        <v>316</v>
      </c>
      <c r="IU6" s="85" t="s">
        <v>317</v>
      </c>
      <c r="IV6" s="85" t="s">
        <v>318</v>
      </c>
      <c r="IW6" s="85" t="s">
        <v>319</v>
      </c>
      <c r="IX6" s="85" t="s">
        <v>320</v>
      </c>
      <c r="IY6" s="85" t="s">
        <v>321</v>
      </c>
      <c r="IZ6" s="85" t="s">
        <v>322</v>
      </c>
      <c r="JA6" s="85" t="s">
        <v>323</v>
      </c>
      <c r="JB6" s="85" t="s">
        <v>324</v>
      </c>
      <c r="JC6" s="85" t="s">
        <v>325</v>
      </c>
      <c r="JD6" s="85" t="s">
        <v>326</v>
      </c>
      <c r="JE6" s="85" t="s">
        <v>327</v>
      </c>
      <c r="JF6" s="85" t="s">
        <v>328</v>
      </c>
      <c r="JG6" s="85" t="s">
        <v>329</v>
      </c>
      <c r="JH6" s="85" t="s">
        <v>330</v>
      </c>
      <c r="JI6" s="85" t="s">
        <v>331</v>
      </c>
      <c r="JJ6" s="85" t="s">
        <v>332</v>
      </c>
      <c r="JK6" s="85" t="s">
        <v>333</v>
      </c>
      <c r="JL6" s="85" t="s">
        <v>334</v>
      </c>
      <c r="JM6" s="85" t="s">
        <v>335</v>
      </c>
      <c r="JN6" s="85" t="s">
        <v>336</v>
      </c>
      <c r="JO6" s="85" t="s">
        <v>337</v>
      </c>
      <c r="JP6" s="85" t="s">
        <v>338</v>
      </c>
      <c r="JQ6" s="85" t="s">
        <v>339</v>
      </c>
      <c r="JR6" s="85" t="s">
        <v>340</v>
      </c>
      <c r="JS6" s="85" t="s">
        <v>341</v>
      </c>
      <c r="JT6" s="85" t="s">
        <v>342</v>
      </c>
      <c r="JU6" s="85" t="s">
        <v>343</v>
      </c>
      <c r="JV6" s="85" t="s">
        <v>344</v>
      </c>
      <c r="JW6" s="85" t="s">
        <v>345</v>
      </c>
      <c r="JX6" s="85" t="s">
        <v>346</v>
      </c>
      <c r="JY6" s="85" t="s">
        <v>347</v>
      </c>
      <c r="JZ6" s="85" t="s">
        <v>348</v>
      </c>
      <c r="KA6" s="85" t="s">
        <v>349</v>
      </c>
      <c r="KB6" s="85" t="s">
        <v>350</v>
      </c>
      <c r="KC6" s="85" t="s">
        <v>351</v>
      </c>
      <c r="KD6" s="85" t="s">
        <v>352</v>
      </c>
      <c r="KE6" s="85" t="s">
        <v>353</v>
      </c>
      <c r="KF6" s="85" t="s">
        <v>354</v>
      </c>
      <c r="KG6" s="85" t="s">
        <v>355</v>
      </c>
      <c r="KH6" s="85" t="s">
        <v>356</v>
      </c>
      <c r="KI6" s="85" t="s">
        <v>357</v>
      </c>
      <c r="KJ6" s="85" t="s">
        <v>358</v>
      </c>
      <c r="KK6" s="85" t="s">
        <v>359</v>
      </c>
      <c r="KL6" s="85" t="s">
        <v>360</v>
      </c>
      <c r="KM6" s="85" t="s">
        <v>361</v>
      </c>
      <c r="KN6" s="85" t="s">
        <v>362</v>
      </c>
      <c r="KO6" s="85" t="s">
        <v>363</v>
      </c>
      <c r="KP6" s="85" t="s">
        <v>364</v>
      </c>
      <c r="KQ6" s="85" t="s">
        <v>365</v>
      </c>
      <c r="KR6" s="85" t="s">
        <v>366</v>
      </c>
      <c r="KS6" s="85" t="s">
        <v>367</v>
      </c>
      <c r="KT6" s="85" t="s">
        <v>368</v>
      </c>
      <c r="KU6" s="85" t="s">
        <v>369</v>
      </c>
      <c r="KV6" s="85" t="s">
        <v>370</v>
      </c>
      <c r="KW6" s="85" t="s">
        <v>371</v>
      </c>
      <c r="KX6" s="85" t="s">
        <v>372</v>
      </c>
      <c r="KY6" s="85" t="s">
        <v>373</v>
      </c>
      <c r="KZ6" s="85" t="s">
        <v>374</v>
      </c>
      <c r="LA6" s="85" t="s">
        <v>375</v>
      </c>
      <c r="LB6" s="85" t="s">
        <v>376</v>
      </c>
      <c r="LC6" s="85" t="s">
        <v>377</v>
      </c>
      <c r="LD6" s="85" t="s">
        <v>378</v>
      </c>
      <c r="LE6" s="85" t="s">
        <v>379</v>
      </c>
      <c r="LF6" s="85" t="s">
        <v>380</v>
      </c>
      <c r="LG6" s="85" t="s">
        <v>381</v>
      </c>
      <c r="LH6" s="85" t="s">
        <v>382</v>
      </c>
      <c r="LI6" s="85" t="s">
        <v>383</v>
      </c>
      <c r="LJ6" s="85" t="s">
        <v>384</v>
      </c>
      <c r="LK6" s="85" t="s">
        <v>385</v>
      </c>
      <c r="LL6" s="85" t="s">
        <v>386</v>
      </c>
      <c r="LM6" s="85" t="s">
        <v>387</v>
      </c>
      <c r="LN6" s="85" t="s">
        <v>388</v>
      </c>
      <c r="LO6" s="85" t="s">
        <v>389</v>
      </c>
      <c r="LP6" s="85" t="s">
        <v>390</v>
      </c>
      <c r="LQ6" s="85" t="s">
        <v>391</v>
      </c>
      <c r="LR6" s="85" t="s">
        <v>392</v>
      </c>
      <c r="LS6" s="85" t="s">
        <v>393</v>
      </c>
      <c r="LT6" s="85" t="s">
        <v>394</v>
      </c>
      <c r="LU6" s="85" t="s">
        <v>395</v>
      </c>
      <c r="LV6" s="85" t="s">
        <v>396</v>
      </c>
      <c r="LW6" s="85" t="s">
        <v>397</v>
      </c>
      <c r="LX6" s="85" t="s">
        <v>398</v>
      </c>
      <c r="LY6" s="85" t="s">
        <v>399</v>
      </c>
      <c r="LZ6" s="85" t="s">
        <v>400</v>
      </c>
      <c r="MA6" s="85" t="s">
        <v>401</v>
      </c>
      <c r="MB6" s="85" t="s">
        <v>402</v>
      </c>
      <c r="MC6" s="85" t="s">
        <v>403</v>
      </c>
      <c r="MD6" s="85" t="s">
        <v>404</v>
      </c>
      <c r="ME6" s="85" t="s">
        <v>405</v>
      </c>
      <c r="MF6" s="85" t="s">
        <v>406</v>
      </c>
      <c r="MG6" s="85" t="s">
        <v>407</v>
      </c>
      <c r="MH6" s="85" t="s">
        <v>408</v>
      </c>
      <c r="MI6" s="85" t="s">
        <v>409</v>
      </c>
      <c r="MJ6" s="85" t="s">
        <v>410</v>
      </c>
      <c r="MK6" s="85" t="s">
        <v>411</v>
      </c>
      <c r="ML6" s="85" t="s">
        <v>412</v>
      </c>
      <c r="MM6" s="85" t="s">
        <v>413</v>
      </c>
      <c r="MN6" s="85" t="s">
        <v>414</v>
      </c>
      <c r="MO6" s="85" t="s">
        <v>415</v>
      </c>
      <c r="MP6" s="85" t="s">
        <v>416</v>
      </c>
      <c r="MQ6" s="85" t="s">
        <v>417</v>
      </c>
      <c r="MR6" s="85" t="s">
        <v>418</v>
      </c>
      <c r="MS6" s="85" t="s">
        <v>419</v>
      </c>
      <c r="MT6" s="85" t="s">
        <v>420</v>
      </c>
      <c r="MU6" s="85" t="s">
        <v>421</v>
      </c>
      <c r="MV6" s="85" t="s">
        <v>422</v>
      </c>
      <c r="MW6" s="85" t="s">
        <v>423</v>
      </c>
      <c r="MX6" s="85" t="s">
        <v>424</v>
      </c>
      <c r="MY6" s="85" t="s">
        <v>425</v>
      </c>
      <c r="MZ6" s="85" t="s">
        <v>426</v>
      </c>
      <c r="NA6" s="85" t="s">
        <v>427</v>
      </c>
    </row>
    <row r="7" spans="1:365" ht="45" customHeight="1" x14ac:dyDescent="0.25">
      <c r="A7" s="39" t="s">
        <v>54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1"/>
    </row>
    <row r="8" spans="1:365" ht="45" customHeight="1" x14ac:dyDescent="0.25">
      <c r="A8" s="42" t="s">
        <v>55</v>
      </c>
      <c r="B8" s="37"/>
      <c r="C8" s="37"/>
      <c r="D8" s="171" t="s">
        <v>500</v>
      </c>
      <c r="E8" s="171" t="s">
        <v>501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43"/>
    </row>
    <row r="9" spans="1:365" ht="45" customHeight="1" x14ac:dyDescent="0.25">
      <c r="A9" s="42" t="s">
        <v>56</v>
      </c>
      <c r="B9" s="37"/>
      <c r="C9" s="37"/>
      <c r="D9" s="172" t="s">
        <v>502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43"/>
    </row>
    <row r="10" spans="1:365" ht="45" customHeight="1" x14ac:dyDescent="0.25">
      <c r="A10" s="44" t="s">
        <v>57</v>
      </c>
      <c r="B10" s="37"/>
      <c r="C10" s="37"/>
      <c r="D10" s="37"/>
      <c r="E10" s="172" t="s">
        <v>503</v>
      </c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43"/>
    </row>
    <row r="11" spans="1:365" ht="45" customHeight="1" x14ac:dyDescent="0.25">
      <c r="A11" s="42" t="s">
        <v>58</v>
      </c>
      <c r="B11" s="37"/>
      <c r="C11" s="37"/>
      <c r="D11" s="173" t="s">
        <v>504</v>
      </c>
      <c r="E11" s="174" t="s">
        <v>505</v>
      </c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43"/>
    </row>
    <row r="12" spans="1:365" ht="45" customHeight="1" x14ac:dyDescent="0.25">
      <c r="A12" s="42" t="s">
        <v>59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43"/>
    </row>
    <row r="13" spans="1:365" ht="45" customHeight="1" x14ac:dyDescent="0.25">
      <c r="A13" s="42" t="s">
        <v>60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43"/>
    </row>
    <row r="14" spans="1:365" ht="45" customHeight="1" x14ac:dyDescent="0.25">
      <c r="A14" s="42" t="s">
        <v>61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43"/>
    </row>
    <row r="15" spans="1:365" ht="45" customHeight="1" thickBot="1" x14ac:dyDescent="0.3">
      <c r="A15" s="45" t="s">
        <v>62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  <c r="IZ15" s="46"/>
      <c r="JA15" s="46"/>
      <c r="JB15" s="46"/>
      <c r="JC15" s="46"/>
      <c r="JD15" s="46"/>
      <c r="JE15" s="46"/>
      <c r="JF15" s="46"/>
      <c r="JG15" s="46"/>
      <c r="JH15" s="46"/>
      <c r="JI15" s="46"/>
      <c r="JJ15" s="46"/>
      <c r="JK15" s="46"/>
      <c r="JL15" s="46"/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46"/>
      <c r="KI15" s="46"/>
      <c r="KJ15" s="46"/>
      <c r="KK15" s="46"/>
      <c r="KL15" s="46"/>
      <c r="KM15" s="46"/>
      <c r="KN15" s="46"/>
      <c r="KO15" s="46"/>
      <c r="KP15" s="46"/>
      <c r="KQ15" s="46"/>
      <c r="KR15" s="46"/>
      <c r="KS15" s="46"/>
      <c r="KT15" s="46"/>
      <c r="KU15" s="46"/>
      <c r="KV15" s="46"/>
      <c r="KW15" s="46"/>
      <c r="KX15" s="46"/>
      <c r="KY15" s="46"/>
      <c r="KZ15" s="46"/>
      <c r="LA15" s="46"/>
      <c r="LB15" s="46"/>
      <c r="LC15" s="46"/>
      <c r="LD15" s="46"/>
      <c r="LE15" s="46"/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46"/>
      <c r="LY15" s="46"/>
      <c r="LZ15" s="46"/>
      <c r="MA15" s="46"/>
      <c r="MB15" s="46"/>
      <c r="MC15" s="46"/>
      <c r="MD15" s="46"/>
      <c r="ME15" s="46"/>
      <c r="MF15" s="46"/>
      <c r="MG15" s="46"/>
      <c r="MH15" s="46"/>
      <c r="MI15" s="46"/>
      <c r="MJ15" s="46"/>
      <c r="MK15" s="46"/>
      <c r="ML15" s="46"/>
      <c r="MM15" s="46"/>
      <c r="MN15" s="46"/>
      <c r="MO15" s="46"/>
      <c r="MP15" s="46"/>
      <c r="MQ15" s="46"/>
      <c r="MR15" s="46"/>
      <c r="MS15" s="46"/>
      <c r="MT15" s="46"/>
      <c r="MU15" s="46"/>
      <c r="MV15" s="46"/>
      <c r="MW15" s="46"/>
      <c r="MX15" s="46"/>
      <c r="MY15" s="46"/>
      <c r="MZ15" s="46"/>
      <c r="NA15" s="47"/>
    </row>
    <row r="16" spans="1:365" ht="15" customHeight="1" x14ac:dyDescent="0.25"/>
  </sheetData>
  <sheetProtection sheet="1" objects="1" scenarios="1"/>
  <conditionalFormatting sqref="B7:NA15 B2:NA5">
    <cfRule type="expression" dxfId="385" priority="4">
      <formula>IF(OR(B$4="Sa",B$4="So"),TRUE,FALSE)</formula>
    </cfRule>
  </conditionalFormatting>
  <conditionalFormatting sqref="B12:NA15">
    <cfRule type="expression" dxfId="384" priority="1">
      <formula>IF(B$4="Fr",TRUE,FALSE)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DAE1844-F470-4D92-9CD5-1D0994711B45}">
            <xm:f>IF(COUNTIF(Berechnungen!$B$2:$C$15,B$5)=1,TRUE,FALSE)</xm:f>
            <x14:dxf>
              <fill>
                <patternFill>
                  <bgColor theme="9" tint="0.59996337778862885"/>
                </patternFill>
              </fill>
            </x14:dxf>
          </x14:cfRule>
          <xm:sqref>B7:NA15 B2:NA5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blAusdruck"/>
  <dimension ref="A1:N20"/>
  <sheetViews>
    <sheetView showGridLines="0" showRowColHeaders="0" tabSelected="1" zoomScale="70" zoomScaleNormal="70" workbookViewId="0">
      <selection activeCell="B2" sqref="B2"/>
    </sheetView>
  </sheetViews>
  <sheetFormatPr baseColWidth="10" defaultColWidth="2.85546875" defaultRowHeight="15" x14ac:dyDescent="0.25"/>
  <cols>
    <col min="1" max="1" width="3" style="81" customWidth="1"/>
    <col min="2" max="2" width="17.28515625" style="56" bestFit="1" customWidth="1"/>
    <col min="3" max="7" width="40.7109375" style="55" customWidth="1"/>
    <col min="8" max="9" width="16.140625" style="55" customWidth="1"/>
    <col min="10" max="10" width="11.140625" style="55" customWidth="1"/>
    <col min="11" max="11" width="6.5703125" style="55" customWidth="1"/>
    <col min="12" max="12" width="2.85546875" style="55"/>
    <col min="13" max="13" width="20" style="55" bestFit="1" customWidth="1"/>
    <col min="14" max="14" width="15.28515625" style="55" hidden="1" customWidth="1"/>
    <col min="15" max="16384" width="2.85546875" style="55"/>
  </cols>
  <sheetData>
    <row r="1" spans="1:14" s="48" customFormat="1" ht="128.25" customHeight="1" x14ac:dyDescent="0.25">
      <c r="A1" s="89"/>
      <c r="B1" s="49" t="s">
        <v>506</v>
      </c>
      <c r="C1" s="50"/>
      <c r="D1" s="50"/>
      <c r="E1" s="50"/>
      <c r="F1" s="50"/>
      <c r="G1" s="50"/>
      <c r="H1" s="50"/>
      <c r="I1" s="51"/>
      <c r="J1" s="52">
        <v>45243</v>
      </c>
      <c r="M1" s="53"/>
      <c r="N1" s="54"/>
    </row>
    <row r="2" spans="1:14" ht="23.25" x14ac:dyDescent="0.35">
      <c r="B2" s="154"/>
      <c r="E2" s="57">
        <f>WEEKNUM(E5,21)</f>
        <v>40</v>
      </c>
      <c r="F2" s="58">
        <v>1</v>
      </c>
      <c r="G2" s="59"/>
      <c r="M2" s="60"/>
      <c r="N2" s="61">
        <v>45201</v>
      </c>
    </row>
    <row r="3" spans="1:14" ht="24" thickBot="1" x14ac:dyDescent="0.4">
      <c r="E3" s="62"/>
      <c r="F3" s="63"/>
      <c r="M3" s="64"/>
      <c r="N3" s="65"/>
    </row>
    <row r="4" spans="1:14" s="66" customFormat="1" x14ac:dyDescent="0.25">
      <c r="A4" s="90"/>
      <c r="B4" s="56"/>
      <c r="C4" s="70" t="str">
        <f>TEXT(C5,"TTTT")</f>
        <v>Montag</v>
      </c>
      <c r="D4" s="71" t="str">
        <f t="shared" ref="D4:I4" si="0">TEXT(D5,"TTTT")</f>
        <v>Dienstag</v>
      </c>
      <c r="E4" s="71" t="str">
        <f t="shared" si="0"/>
        <v>Mittwoch</v>
      </c>
      <c r="F4" s="71" t="str">
        <f t="shared" si="0"/>
        <v>Donnerstag</v>
      </c>
      <c r="G4" s="71" t="str">
        <f t="shared" si="0"/>
        <v>Freitag</v>
      </c>
      <c r="H4" s="72" t="str">
        <f t="shared" si="0"/>
        <v>Samstag</v>
      </c>
      <c r="I4" s="73" t="str">
        <f t="shared" si="0"/>
        <v>Sonntag</v>
      </c>
    </row>
    <row r="5" spans="1:14" s="66" customFormat="1" ht="15.75" thickBot="1" x14ac:dyDescent="0.3">
      <c r="A5" s="90"/>
      <c r="B5" s="56"/>
      <c r="C5" s="74">
        <f>N2</f>
        <v>45201</v>
      </c>
      <c r="D5" s="75">
        <f>N2+1</f>
        <v>45202</v>
      </c>
      <c r="E5" s="75">
        <f>D5+1</f>
        <v>45203</v>
      </c>
      <c r="F5" s="75">
        <f>E5+1</f>
        <v>45204</v>
      </c>
      <c r="G5" s="75">
        <f>F5+1</f>
        <v>45205</v>
      </c>
      <c r="H5" s="76">
        <f>G5+1</f>
        <v>45206</v>
      </c>
      <c r="I5" s="77">
        <f>H5+1</f>
        <v>45207</v>
      </c>
    </row>
    <row r="6" spans="1:14" ht="15.75" hidden="1" thickBot="1" x14ac:dyDescent="0.3">
      <c r="B6" s="69" t="s">
        <v>63</v>
      </c>
      <c r="C6" s="78" t="s">
        <v>64</v>
      </c>
      <c r="D6" s="78" t="s">
        <v>65</v>
      </c>
      <c r="E6" s="78" t="s">
        <v>66</v>
      </c>
      <c r="F6" s="78" t="s">
        <v>67</v>
      </c>
      <c r="G6" s="78" t="s">
        <v>68</v>
      </c>
      <c r="H6" s="79" t="s">
        <v>69</v>
      </c>
      <c r="I6" s="80" t="s">
        <v>70</v>
      </c>
      <c r="M6"/>
    </row>
    <row r="7" spans="1:14" ht="45" customHeight="1" x14ac:dyDescent="0.25">
      <c r="A7" s="81">
        <v>3</v>
      </c>
      <c r="B7" s="86" t="s">
        <v>54</v>
      </c>
      <c r="C7" s="155" t="str">
        <f>IF(HLOOKUP(C$5,Stundenplan!$B$5:$NA$15,$A7,FALSE)&lt;&gt;"",HLOOKUP(C$5,Stundenplan!$B$5:$NA$15,$A7,FALSE),"")</f>
        <v/>
      </c>
      <c r="D7" s="156" t="str">
        <f>IF(HLOOKUP(D$5,Stundenplan!$B$5:$NA$15,$A7,FALSE)&lt;&gt;"",HLOOKUP(D$5,Stundenplan!$B$5:$NA$15,$A7,FALSE),"")</f>
        <v/>
      </c>
      <c r="E7" s="156" t="str">
        <f>IF(HLOOKUP(E$5,Stundenplan!$B$5:$NA$15,$A7,FALSE)&lt;&gt;"",HLOOKUP(E$5,Stundenplan!$B$5:$NA$15,$A7,FALSE),"")</f>
        <v/>
      </c>
      <c r="F7" s="156" t="str">
        <f>IF(HLOOKUP(F$5,Stundenplan!$B$5:$NA$15,$A7,FALSE)&lt;&gt;"",HLOOKUP(F$5,Stundenplan!$B$5:$NA$15,$A7,FALSE),"")</f>
        <v/>
      </c>
      <c r="G7" s="156" t="str">
        <f>IF(HLOOKUP(G$5,Stundenplan!$B$5:$NA$15,$A7,FALSE)&lt;&gt;"",HLOOKUP(G$5,Stundenplan!$B$5:$NA$15,$A7,FALSE),"")</f>
        <v/>
      </c>
      <c r="H7" s="156" t="str">
        <f>IF(HLOOKUP(H$5,Stundenplan!$B$5:$NA$15,$A7,FALSE)&lt;&gt;"",HLOOKUP(H$5,Stundenplan!$B$5:$NA$15,$A7,FALSE),"")</f>
        <v/>
      </c>
      <c r="I7" s="159" t="str">
        <f>IF(HLOOKUP(I$5,Stundenplan!$B$5:$NA$15,$A7,FALSE)&lt;&gt;"",HLOOKUP(I$5,Stundenplan!$B$5:$NA$15,$A7,FALSE),"")</f>
        <v/>
      </c>
    </row>
    <row r="8" spans="1:14" ht="45" customHeight="1" x14ac:dyDescent="0.25">
      <c r="A8" s="81">
        <v>4</v>
      </c>
      <c r="B8" s="87" t="s">
        <v>55</v>
      </c>
      <c r="C8" s="157" t="str">
        <f>IF(HLOOKUP(C$5,Stundenplan!$B$5:$NA$15,$A8,FALSE)&lt;&gt;"",HLOOKUP(C$5,Stundenplan!$B$5:$NA$15,$A8,FALSE),"")</f>
        <v/>
      </c>
      <c r="D8" s="158" t="str">
        <f>IF(HLOOKUP(D$5,Stundenplan!$B$5:$NA$15,$A8,FALSE)&lt;&gt;"",HLOOKUP(D$5,Stundenplan!$B$5:$NA$15,$A8,FALSE),"")</f>
        <v/>
      </c>
      <c r="E8" s="158" t="str">
        <f>IF(HLOOKUP(E$5,Stundenplan!$B$5:$NA$15,$A8,FALSE)&lt;&gt;"",HLOOKUP(E$5,Stundenplan!$B$5:$NA$15,$A8,FALSE),"")</f>
        <v>1013_x000D_
Allg3_x000D_
Lehrer3</v>
      </c>
      <c r="F8" s="158" t="str">
        <f>IF(HLOOKUP(F$5,Stundenplan!$B$5:$NA$15,$A8,FALSE)&lt;&gt;"",HLOOKUP(F$5,Stundenplan!$B$5:$NA$15,$A8,FALSE),"")</f>
        <v>1017_x000D_
Allg7_x000D_
Lehrer3</v>
      </c>
      <c r="G8" s="158" t="str">
        <f>IF(HLOOKUP(G$5,Stundenplan!$B$5:$NA$15,$A8,FALSE)&lt;&gt;"",HLOOKUP(G$5,Stundenplan!$B$5:$NA$15,$A8,FALSE),"")</f>
        <v/>
      </c>
      <c r="H8" s="158" t="str">
        <f>IF(HLOOKUP(H$5,Stundenplan!$B$5:$NA$15,$A8,FALSE)&lt;&gt;"",HLOOKUP(H$5,Stundenplan!$B$5:$NA$15,$A8,FALSE),"")</f>
        <v/>
      </c>
      <c r="I8" s="160" t="str">
        <f>IF(HLOOKUP(I$5,Stundenplan!$B$5:$NA$15,$A8,FALSE)&lt;&gt;"",HLOOKUP(I$5,Stundenplan!$B$5:$NA$15,$A8,FALSE),"")</f>
        <v/>
      </c>
      <c r="M8"/>
    </row>
    <row r="9" spans="1:14" ht="45" customHeight="1" x14ac:dyDescent="0.25">
      <c r="A9" s="81">
        <v>5</v>
      </c>
      <c r="B9" s="87" t="s">
        <v>56</v>
      </c>
      <c r="C9" s="157" t="str">
        <f>IF(HLOOKUP(C$5,Stundenplan!$B$5:$NA$15,$A9,FALSE)&lt;&gt;"",HLOOKUP(C$5,Stundenplan!$B$5:$NA$15,$A9,FALSE),"")</f>
        <v/>
      </c>
      <c r="D9" s="158" t="str">
        <f>IF(HLOOKUP(D$5,Stundenplan!$B$5:$NA$15,$A9,FALSE)&lt;&gt;"",HLOOKUP(D$5,Stundenplan!$B$5:$NA$15,$A9,FALSE),"")</f>
        <v/>
      </c>
      <c r="E9" s="158" t="str">
        <f>IF(HLOOKUP(E$5,Stundenplan!$B$5:$NA$15,$A9,FALSE)&lt;&gt;"",HLOOKUP(E$5,Stundenplan!$B$5:$NA$15,$A9,FALSE),"")</f>
        <v>3013_x000D_
Technik3_x000D_
Lehrer17</v>
      </c>
      <c r="F9" s="158" t="str">
        <f>IF(HLOOKUP(F$5,Stundenplan!$B$5:$NA$15,$A9,FALSE)&lt;&gt;"",HLOOKUP(F$5,Stundenplan!$B$5:$NA$15,$A9,FALSE),"")</f>
        <v/>
      </c>
      <c r="G9" s="158" t="str">
        <f>IF(HLOOKUP(G$5,Stundenplan!$B$5:$NA$15,$A9,FALSE)&lt;&gt;"",HLOOKUP(G$5,Stundenplan!$B$5:$NA$15,$A9,FALSE),"")</f>
        <v/>
      </c>
      <c r="H9" s="158" t="str">
        <f>IF(HLOOKUP(H$5,Stundenplan!$B$5:$NA$15,$A9,FALSE)&lt;&gt;"",HLOOKUP(H$5,Stundenplan!$B$5:$NA$15,$A9,FALSE),"")</f>
        <v/>
      </c>
      <c r="I9" s="160" t="str">
        <f>IF(HLOOKUP(I$5,Stundenplan!$B$5:$NA$15,$A9,FALSE)&lt;&gt;"",HLOOKUP(I$5,Stundenplan!$B$5:$NA$15,$A9,FALSE),"")</f>
        <v/>
      </c>
    </row>
    <row r="10" spans="1:14" ht="45" customHeight="1" x14ac:dyDescent="0.25">
      <c r="A10" s="81">
        <v>6</v>
      </c>
      <c r="B10" s="88" t="s">
        <v>57</v>
      </c>
      <c r="C10" s="157" t="str">
        <f>IF(HLOOKUP(C$5,Stundenplan!$B$5:$NA$15,$A10,FALSE)&lt;&gt;"",HLOOKUP(C$5,Stundenplan!$B$5:$NA$15,$A10,FALSE),"")</f>
        <v/>
      </c>
      <c r="D10" s="158" t="str">
        <f>IF(HLOOKUP(D$5,Stundenplan!$B$5:$NA$15,$A10,FALSE)&lt;&gt;"",HLOOKUP(D$5,Stundenplan!$B$5:$NA$15,$A10,FALSE),"")</f>
        <v/>
      </c>
      <c r="E10" s="158" t="str">
        <f>IF(HLOOKUP(E$5,Stundenplan!$B$5:$NA$15,$A10,FALSE)&lt;&gt;"",HLOOKUP(E$5,Stundenplan!$B$5:$NA$15,$A10,FALSE),"")</f>
        <v/>
      </c>
      <c r="F10" s="158" t="str">
        <f>IF(HLOOKUP(F$5,Stundenplan!$B$5:$NA$15,$A10,FALSE)&lt;&gt;"",HLOOKUP(F$5,Stundenplan!$B$5:$NA$15,$A10,FALSE),"")</f>
        <v>5013_x000D_
Nautik3_x000D_
Lehrer17</v>
      </c>
      <c r="G10" s="158" t="str">
        <f>IF(HLOOKUP(G$5,Stundenplan!$B$5:$NA$15,$A10,FALSE)&lt;&gt;"",HLOOKUP(G$5,Stundenplan!$B$5:$NA$15,$A10,FALSE),"")</f>
        <v/>
      </c>
      <c r="H10" s="158" t="str">
        <f>IF(HLOOKUP(H$5,Stundenplan!$B$5:$NA$15,$A10,FALSE)&lt;&gt;"",HLOOKUP(H$5,Stundenplan!$B$5:$NA$15,$A10,FALSE),"")</f>
        <v/>
      </c>
      <c r="I10" s="160" t="str">
        <f>IF(HLOOKUP(I$5,Stundenplan!$B$5:$NA$15,$A10,FALSE)&lt;&gt;"",HLOOKUP(I$5,Stundenplan!$B$5:$NA$15,$A10,FALSE),"")</f>
        <v/>
      </c>
      <c r="N10" s="67"/>
    </row>
    <row r="11" spans="1:14" ht="45" customHeight="1" x14ac:dyDescent="0.25">
      <c r="A11" s="81">
        <v>7</v>
      </c>
      <c r="B11" s="87" t="s">
        <v>58</v>
      </c>
      <c r="C11" s="157" t="str">
        <f>IF(HLOOKUP(C$5,Stundenplan!$B$5:$NA$15,$A11,FALSE)&lt;&gt;"",HLOOKUP(C$5,Stundenplan!$B$5:$NA$15,$A11,FALSE),"")</f>
        <v/>
      </c>
      <c r="D11" s="158" t="str">
        <f>IF(HLOOKUP(D$5,Stundenplan!$B$5:$NA$15,$A11,FALSE)&lt;&gt;"",HLOOKUP(D$5,Stundenplan!$B$5:$NA$15,$A11,FALSE),"")</f>
        <v/>
      </c>
      <c r="E11" s="158" t="str">
        <f>IF(HLOOKUP(E$5,Stundenplan!$B$5:$NA$15,$A11,FALSE)&lt;&gt;"",HLOOKUP(E$5,Stundenplan!$B$5:$NA$15,$A11,FALSE),"")</f>
        <v>1011_x000D_
Allg1_x000D_
Lehrer2</v>
      </c>
      <c r="F11" s="158" t="str">
        <f>IF(HLOOKUP(F$5,Stundenplan!$B$5:$NA$15,$A11,FALSE)&lt;&gt;"",HLOOKUP(F$5,Stundenplan!$B$5:$NA$15,$A11,FALSE),"")</f>
        <v>5022_x000D_
Nautik12_x000D_
Lehrer11</v>
      </c>
      <c r="G11" s="158" t="str">
        <f>IF(HLOOKUP(G$5,Stundenplan!$B$5:$NA$15,$A11,FALSE)&lt;&gt;"",HLOOKUP(G$5,Stundenplan!$B$5:$NA$15,$A11,FALSE),"")</f>
        <v/>
      </c>
      <c r="H11" s="158" t="str">
        <f>IF(HLOOKUP(H$5,Stundenplan!$B$5:$NA$15,$A11,FALSE)&lt;&gt;"",HLOOKUP(H$5,Stundenplan!$B$5:$NA$15,$A11,FALSE),"")</f>
        <v/>
      </c>
      <c r="I11" s="160" t="str">
        <f>IF(HLOOKUP(I$5,Stundenplan!$B$5:$NA$15,$A11,FALSE)&lt;&gt;"",HLOOKUP(I$5,Stundenplan!$B$5:$NA$15,$A11,FALSE),"")</f>
        <v/>
      </c>
    </row>
    <row r="12" spans="1:14" ht="45" customHeight="1" x14ac:dyDescent="0.25">
      <c r="A12" s="81">
        <v>8</v>
      </c>
      <c r="B12" s="87" t="s">
        <v>59</v>
      </c>
      <c r="C12" s="157" t="str">
        <f>IF(HLOOKUP(C$5,Stundenplan!$B$5:$NA$15,$A12,FALSE)&lt;&gt;"",HLOOKUP(C$5,Stundenplan!$B$5:$NA$15,$A12,FALSE),"")</f>
        <v/>
      </c>
      <c r="D12" s="158" t="str">
        <f>IF(HLOOKUP(D$5,Stundenplan!$B$5:$NA$15,$A12,FALSE)&lt;&gt;"",HLOOKUP(D$5,Stundenplan!$B$5:$NA$15,$A12,FALSE),"")</f>
        <v/>
      </c>
      <c r="E12" s="158" t="str">
        <f>IF(HLOOKUP(E$5,Stundenplan!$B$5:$NA$15,$A12,FALSE)&lt;&gt;"",HLOOKUP(E$5,Stundenplan!$B$5:$NA$15,$A12,FALSE),"")</f>
        <v/>
      </c>
      <c r="F12" s="158" t="str">
        <f>IF(HLOOKUP(F$5,Stundenplan!$B$5:$NA$15,$A12,FALSE)&lt;&gt;"",HLOOKUP(F$5,Stundenplan!$B$5:$NA$15,$A12,FALSE),"")</f>
        <v/>
      </c>
      <c r="G12" s="158" t="str">
        <f>IF(HLOOKUP(G$5,Stundenplan!$B$5:$NA$15,$A12,FALSE)&lt;&gt;"",HLOOKUP(G$5,Stundenplan!$B$5:$NA$15,$A12,FALSE),"")</f>
        <v/>
      </c>
      <c r="H12" s="158" t="str">
        <f>IF(HLOOKUP(H$5,Stundenplan!$B$5:$NA$15,$A12,FALSE)&lt;&gt;"",HLOOKUP(H$5,Stundenplan!$B$5:$NA$15,$A12,FALSE),"")</f>
        <v/>
      </c>
      <c r="I12" s="160" t="str">
        <f>IF(HLOOKUP(I$5,Stundenplan!$B$5:$NA$15,$A12,FALSE)&lt;&gt;"",HLOOKUP(I$5,Stundenplan!$B$5:$NA$15,$A12,FALSE),"")</f>
        <v/>
      </c>
    </row>
    <row r="13" spans="1:14" ht="45" customHeight="1" x14ac:dyDescent="0.25">
      <c r="A13" s="81">
        <v>9</v>
      </c>
      <c r="B13" s="87" t="s">
        <v>60</v>
      </c>
      <c r="C13" s="157" t="str">
        <f>IF(HLOOKUP(C$5,Stundenplan!$B$5:$NA$15,$A13,FALSE)&lt;&gt;"",HLOOKUP(C$5,Stundenplan!$B$5:$NA$15,$A13,FALSE),"")</f>
        <v/>
      </c>
      <c r="D13" s="158" t="str">
        <f>IF(HLOOKUP(D$5,Stundenplan!$B$5:$NA$15,$A13,FALSE)&lt;&gt;"",HLOOKUP(D$5,Stundenplan!$B$5:$NA$15,$A13,FALSE),"")</f>
        <v/>
      </c>
      <c r="E13" s="158" t="str">
        <f>IF(HLOOKUP(E$5,Stundenplan!$B$5:$NA$15,$A13,FALSE)&lt;&gt;"",HLOOKUP(E$5,Stundenplan!$B$5:$NA$15,$A13,FALSE),"")</f>
        <v/>
      </c>
      <c r="F13" s="158" t="str">
        <f>IF(HLOOKUP(F$5,Stundenplan!$B$5:$NA$15,$A13,FALSE)&lt;&gt;"",HLOOKUP(F$5,Stundenplan!$B$5:$NA$15,$A13,FALSE),"")</f>
        <v/>
      </c>
      <c r="G13" s="158" t="str">
        <f>IF(HLOOKUP(G$5,Stundenplan!$B$5:$NA$15,$A13,FALSE)&lt;&gt;"",HLOOKUP(G$5,Stundenplan!$B$5:$NA$15,$A13,FALSE),"")</f>
        <v/>
      </c>
      <c r="H13" s="158" t="str">
        <f>IF(HLOOKUP(H$5,Stundenplan!$B$5:$NA$15,$A13,FALSE)&lt;&gt;"",HLOOKUP(H$5,Stundenplan!$B$5:$NA$15,$A13,FALSE),"")</f>
        <v/>
      </c>
      <c r="I13" s="160" t="str">
        <f>IF(HLOOKUP(I$5,Stundenplan!$B$5:$NA$15,$A13,FALSE)&lt;&gt;"",HLOOKUP(I$5,Stundenplan!$B$5:$NA$15,$A13,FALSE),"")</f>
        <v/>
      </c>
    </row>
    <row r="14" spans="1:14" ht="45" customHeight="1" x14ac:dyDescent="0.25">
      <c r="A14" s="81">
        <v>10</v>
      </c>
      <c r="B14" s="87" t="s">
        <v>61</v>
      </c>
      <c r="C14" s="157" t="str">
        <f>IF(HLOOKUP(C$5,Stundenplan!$B$5:$NA$15,$A14,FALSE)&lt;&gt;"",HLOOKUP(C$5,Stundenplan!$B$5:$NA$15,$A14,FALSE),"")</f>
        <v/>
      </c>
      <c r="D14" s="158" t="str">
        <f>IF(HLOOKUP(D$5,Stundenplan!$B$5:$NA$15,$A14,FALSE)&lt;&gt;"",HLOOKUP(D$5,Stundenplan!$B$5:$NA$15,$A14,FALSE),"")</f>
        <v/>
      </c>
      <c r="E14" s="158" t="str">
        <f>IF(HLOOKUP(E$5,Stundenplan!$B$5:$NA$15,$A14,FALSE)&lt;&gt;"",HLOOKUP(E$5,Stundenplan!$B$5:$NA$15,$A14,FALSE),"")</f>
        <v/>
      </c>
      <c r="F14" s="158" t="str">
        <f>IF(HLOOKUP(F$5,Stundenplan!$B$5:$NA$15,$A14,FALSE)&lt;&gt;"",HLOOKUP(F$5,Stundenplan!$B$5:$NA$15,$A14,FALSE),"")</f>
        <v/>
      </c>
      <c r="G14" s="158" t="str">
        <f>IF(HLOOKUP(G$5,Stundenplan!$B$5:$NA$15,$A14,FALSE)&lt;&gt;"",HLOOKUP(G$5,Stundenplan!$B$5:$NA$15,$A14,FALSE),"")</f>
        <v/>
      </c>
      <c r="H14" s="158" t="str">
        <f>IF(HLOOKUP(H$5,Stundenplan!$B$5:$NA$15,$A14,FALSE)&lt;&gt;"",HLOOKUP(H$5,Stundenplan!$B$5:$NA$15,$A14,FALSE),"")</f>
        <v/>
      </c>
      <c r="I14" s="160" t="str">
        <f>IF(HLOOKUP(I$5,Stundenplan!$B$5:$NA$15,$A14,FALSE)&lt;&gt;"",HLOOKUP(I$5,Stundenplan!$B$5:$NA$15,$A14,FALSE),"")</f>
        <v/>
      </c>
    </row>
    <row r="15" spans="1:14" ht="45" customHeight="1" thickBot="1" x14ac:dyDescent="0.3">
      <c r="A15" s="81">
        <v>11</v>
      </c>
      <c r="B15" s="87" t="s">
        <v>62</v>
      </c>
      <c r="C15" s="161" t="str">
        <f>IF(HLOOKUP(C$5,Stundenplan!$B$5:$NA$15,$A15,FALSE)&lt;&gt;"",HLOOKUP(C$5,Stundenplan!$B$5:$NA$15,$A15,FALSE),"")</f>
        <v/>
      </c>
      <c r="D15" s="162" t="str">
        <f>IF(HLOOKUP(D$5,Stundenplan!$B$5:$NA$15,$A15,FALSE)&lt;&gt;"",HLOOKUP(D$5,Stundenplan!$B$5:$NA$15,$A15,FALSE),"")</f>
        <v/>
      </c>
      <c r="E15" s="162" t="str">
        <f>IF(HLOOKUP(E$5,Stundenplan!$B$5:$NA$15,$A15,FALSE)&lt;&gt;"",HLOOKUP(E$5,Stundenplan!$B$5:$NA$15,$A15,FALSE),"")</f>
        <v/>
      </c>
      <c r="F15" s="162" t="str">
        <f>IF(HLOOKUP(F$5,Stundenplan!$B$5:$NA$15,$A15,FALSE)&lt;&gt;"",HLOOKUP(F$5,Stundenplan!$B$5:$NA$15,$A15,FALSE),"")</f>
        <v/>
      </c>
      <c r="G15" s="162" t="str">
        <f>IF(HLOOKUP(G$5,Stundenplan!$B$5:$NA$15,$A15,FALSE)&lt;&gt;"",HLOOKUP(G$5,Stundenplan!$B$5:$NA$15,$A15,FALSE),"")</f>
        <v/>
      </c>
      <c r="H15" s="162" t="str">
        <f>IF(HLOOKUP(H$5,Stundenplan!$B$5:$NA$15,$A15,FALSE)&lt;&gt;"",HLOOKUP(H$5,Stundenplan!$B$5:$NA$15,$A15,FALSE),"")</f>
        <v/>
      </c>
      <c r="I15" s="163" t="str">
        <f>IF(HLOOKUP(I$5,Stundenplan!$B$5:$NA$15,$A15,FALSE)&lt;&gt;"",HLOOKUP(I$5,Stundenplan!$B$5:$NA$15,$A15,FALSE),"")</f>
        <v/>
      </c>
    </row>
    <row r="16" spans="1:14" ht="45" customHeight="1" x14ac:dyDescent="0.25"/>
    <row r="17" spans="3:7" ht="45" customHeight="1" x14ac:dyDescent="0.25">
      <c r="G17" s="68"/>
    </row>
    <row r="20" spans="3:7" x14ac:dyDescent="0.25">
      <c r="C20" s="67"/>
      <c r="D20" s="67"/>
      <c r="E20" s="67"/>
      <c r="F20" s="67"/>
      <c r="G20" s="67"/>
    </row>
  </sheetData>
  <sheetProtection sheet="1" objects="1" scenarios="1" selectLockedCells="1"/>
  <conditionalFormatting sqref="C4:I15">
    <cfRule type="expression" dxfId="14" priority="3">
      <formula>IF(OR(C$4="Samstag",C$4="Sonntag"),TRUE,FALSE)</formula>
    </cfRule>
  </conditionalFormatting>
  <conditionalFormatting sqref="G12:G15">
    <cfRule type="expression" dxfId="13" priority="1">
      <formula>IF(G$4="Freitag",TRUE,FALSE)</formula>
    </cfRule>
  </conditionalFormatting>
  <pageMargins left="0.7" right="0.7" top="0.78740157499999996" bottom="0.78740157499999996" header="0.3" footer="0.3"/>
  <pageSetup paperSize="9" scale="51" orientation="landscape" r:id="rId1"/>
  <colBreaks count="1" manualBreakCount="1">
    <brk id="9" max="14" man="1"/>
  </colBreak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8837955-44F4-4E2D-9E29-259EDB3B6BCD}">
            <xm:f>IF(COUNTIF(Berechnungen!$B$2:$C$15,C$5)=1,TRUE,FALSE)</xm:f>
            <x14:dxf>
              <fill>
                <patternFill>
                  <bgColor theme="9" tint="0.59996337778862885"/>
                </patternFill>
              </fill>
            </x14:dxf>
          </x14:cfRule>
          <xm:sqref>C4:I15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Berechnungen"/>
  <dimension ref="A1:H52"/>
  <sheetViews>
    <sheetView workbookViewId="0">
      <selection activeCell="C2" sqref="C2"/>
    </sheetView>
  </sheetViews>
  <sheetFormatPr baseColWidth="10" defaultRowHeight="15" x14ac:dyDescent="0.25"/>
  <cols>
    <col min="1" max="1" width="24.140625" bestFit="1" customWidth="1"/>
    <col min="5" max="5" width="10.140625" bestFit="1" customWidth="1"/>
    <col min="6" max="6" width="3" customWidth="1"/>
    <col min="7" max="7" width="10.140625" bestFit="1" customWidth="1"/>
  </cols>
  <sheetData>
    <row r="1" spans="1:8" x14ac:dyDescent="0.25">
      <c r="B1">
        <f>YEAR(Grundeinstellungen!B1)</f>
        <v>2023</v>
      </c>
      <c r="C1">
        <f>B1+1</f>
        <v>2024</v>
      </c>
      <c r="E1" s="4">
        <f>Grundeinstellungen!B1</f>
        <v>45201</v>
      </c>
      <c r="F1">
        <v>1</v>
      </c>
      <c r="G1" s="4">
        <f>E1</f>
        <v>45201</v>
      </c>
    </row>
    <row r="2" spans="1:8" x14ac:dyDescent="0.25">
      <c r="A2" t="s">
        <v>3</v>
      </c>
      <c r="B2" s="4">
        <f>DATE(B1,1,1)</f>
        <v>44927</v>
      </c>
      <c r="C2" s="4">
        <f>DATE(C1,1,1)</f>
        <v>45292</v>
      </c>
      <c r="E2" s="4">
        <f t="shared" ref="E2:E33" si="0">E1+7</f>
        <v>45208</v>
      </c>
      <c r="F2">
        <f t="shared" ref="F2:F33" si="1">F1+1</f>
        <v>2</v>
      </c>
      <c r="G2" s="4">
        <f t="shared" ref="G2:G33" si="2">G1+7</f>
        <v>45208</v>
      </c>
    </row>
    <row r="3" spans="1:8" x14ac:dyDescent="0.25">
      <c r="A3" t="s">
        <v>4</v>
      </c>
      <c r="B3" s="4">
        <f>B4-2</f>
        <v>45023</v>
      </c>
      <c r="C3" s="4">
        <f>C4-2</f>
        <v>45380</v>
      </c>
      <c r="E3" s="4">
        <f t="shared" si="0"/>
        <v>45215</v>
      </c>
      <c r="F3">
        <f t="shared" si="1"/>
        <v>3</v>
      </c>
      <c r="G3" s="4">
        <f t="shared" si="2"/>
        <v>45215</v>
      </c>
      <c r="H3" s="1"/>
    </row>
    <row r="4" spans="1:8" x14ac:dyDescent="0.25">
      <c r="A4" t="s">
        <v>5</v>
      </c>
      <c r="B4" s="4">
        <f>DATE(B1,3,28)+MOD(24-MOD(B1,19)*10.63,29)-MOD(TRUNC(B1*5/4)+MOD(24-MOD(B1,19)*10.63,29)+1,7)</f>
        <v>45025</v>
      </c>
      <c r="C4" s="4">
        <f>DATE(C1,3,28)+MOD(24-MOD(C1,19)*10.63,29)-MOD(TRUNC(C1*5/4)+MOD(24-MOD(C1,19)*10.63,29)+1,7)</f>
        <v>45382</v>
      </c>
      <c r="E4" s="4">
        <f t="shared" si="0"/>
        <v>45222</v>
      </c>
      <c r="F4">
        <f t="shared" si="1"/>
        <v>4</v>
      </c>
      <c r="G4" s="4">
        <f t="shared" si="2"/>
        <v>45222</v>
      </c>
      <c r="H4" s="1"/>
    </row>
    <row r="5" spans="1:8" x14ac:dyDescent="0.25">
      <c r="A5" t="s">
        <v>6</v>
      </c>
      <c r="B5" s="4">
        <f>B4+1</f>
        <v>45026</v>
      </c>
      <c r="C5" s="4">
        <f>C4+1</f>
        <v>45383</v>
      </c>
      <c r="E5" s="4">
        <f t="shared" si="0"/>
        <v>45229</v>
      </c>
      <c r="F5">
        <f t="shared" si="1"/>
        <v>5</v>
      </c>
      <c r="G5" s="4">
        <f t="shared" si="2"/>
        <v>45229</v>
      </c>
      <c r="H5" s="1"/>
    </row>
    <row r="6" spans="1:8" x14ac:dyDescent="0.25">
      <c r="A6" t="s">
        <v>7</v>
      </c>
      <c r="B6" s="4">
        <f>DATE(B1,5,1)</f>
        <v>45047</v>
      </c>
      <c r="C6" s="4">
        <f>DATE(C1,5,1)</f>
        <v>45413</v>
      </c>
      <c r="E6" s="4">
        <f t="shared" si="0"/>
        <v>45236</v>
      </c>
      <c r="F6">
        <f t="shared" si="1"/>
        <v>6</v>
      </c>
      <c r="G6" s="4">
        <f t="shared" si="2"/>
        <v>45236</v>
      </c>
      <c r="H6" s="1"/>
    </row>
    <row r="7" spans="1:8" x14ac:dyDescent="0.25">
      <c r="A7" t="s">
        <v>8</v>
      </c>
      <c r="B7" s="4">
        <f>B4+39</f>
        <v>45064</v>
      </c>
      <c r="C7" s="4">
        <f>C4+39</f>
        <v>45421</v>
      </c>
      <c r="E7" s="4">
        <f t="shared" si="0"/>
        <v>45243</v>
      </c>
      <c r="F7">
        <f t="shared" si="1"/>
        <v>7</v>
      </c>
      <c r="G7" s="4">
        <f t="shared" si="2"/>
        <v>45243</v>
      </c>
      <c r="H7" s="1"/>
    </row>
    <row r="8" spans="1:8" x14ac:dyDescent="0.25">
      <c r="A8" t="s">
        <v>9</v>
      </c>
      <c r="B8" s="4">
        <f>B4+49</f>
        <v>45074</v>
      </c>
      <c r="C8" s="4">
        <f>C4+49</f>
        <v>45431</v>
      </c>
      <c r="E8" s="4">
        <f t="shared" si="0"/>
        <v>45250</v>
      </c>
      <c r="F8">
        <f t="shared" si="1"/>
        <v>8</v>
      </c>
      <c r="G8" s="4">
        <f t="shared" si="2"/>
        <v>45250</v>
      </c>
      <c r="H8" s="1"/>
    </row>
    <row r="9" spans="1:8" x14ac:dyDescent="0.25">
      <c r="A9" t="s">
        <v>10</v>
      </c>
      <c r="B9" s="4">
        <f>B8+1</f>
        <v>45075</v>
      </c>
      <c r="C9" s="4">
        <f>C8+1</f>
        <v>45432</v>
      </c>
      <c r="E9" s="4">
        <f t="shared" si="0"/>
        <v>45257</v>
      </c>
      <c r="F9">
        <f t="shared" si="1"/>
        <v>9</v>
      </c>
      <c r="G9" s="4">
        <f t="shared" si="2"/>
        <v>45257</v>
      </c>
      <c r="H9" s="1"/>
    </row>
    <row r="10" spans="1:8" x14ac:dyDescent="0.25">
      <c r="A10" t="s">
        <v>11</v>
      </c>
      <c r="B10" s="4">
        <f>DATE(B1,10,3)</f>
        <v>45202</v>
      </c>
      <c r="C10" s="4">
        <f>DATE(C1,10,3)</f>
        <v>45568</v>
      </c>
      <c r="E10" s="4">
        <f t="shared" si="0"/>
        <v>45264</v>
      </c>
      <c r="F10">
        <f t="shared" si="1"/>
        <v>10</v>
      </c>
      <c r="G10" s="4">
        <f t="shared" si="2"/>
        <v>45264</v>
      </c>
      <c r="H10" s="1"/>
    </row>
    <row r="11" spans="1:8" x14ac:dyDescent="0.25">
      <c r="A11" t="s">
        <v>12</v>
      </c>
      <c r="B11" s="4">
        <f>DATE(B1,10,31)</f>
        <v>45230</v>
      </c>
      <c r="C11" s="4">
        <f>DATE(C1,10,31)</f>
        <v>45596</v>
      </c>
      <c r="E11" s="4">
        <f t="shared" si="0"/>
        <v>45271</v>
      </c>
      <c r="F11">
        <f t="shared" si="1"/>
        <v>11</v>
      </c>
      <c r="G11" s="4">
        <f t="shared" si="2"/>
        <v>45271</v>
      </c>
      <c r="H11" s="1"/>
    </row>
    <row r="12" spans="1:8" x14ac:dyDescent="0.25">
      <c r="A12" t="s">
        <v>13</v>
      </c>
      <c r="B12" s="4">
        <f>DATE(B1,12,24)</f>
        <v>45284</v>
      </c>
      <c r="C12" s="4">
        <f>DATE(C1,12,24)</f>
        <v>45650</v>
      </c>
      <c r="E12" s="4">
        <f t="shared" si="0"/>
        <v>45278</v>
      </c>
      <c r="F12">
        <f t="shared" si="1"/>
        <v>12</v>
      </c>
      <c r="G12" s="4">
        <f t="shared" si="2"/>
        <v>45278</v>
      </c>
      <c r="H12" s="1"/>
    </row>
    <row r="13" spans="1:8" x14ac:dyDescent="0.25">
      <c r="A13" t="s">
        <v>14</v>
      </c>
      <c r="B13" s="4">
        <f>B12+1</f>
        <v>45285</v>
      </c>
      <c r="C13" s="4">
        <f>C12+1</f>
        <v>45651</v>
      </c>
      <c r="E13" s="4">
        <f t="shared" si="0"/>
        <v>45285</v>
      </c>
      <c r="F13">
        <f t="shared" si="1"/>
        <v>13</v>
      </c>
      <c r="G13" s="4">
        <f t="shared" si="2"/>
        <v>45285</v>
      </c>
      <c r="H13" s="1"/>
    </row>
    <row r="14" spans="1:8" x14ac:dyDescent="0.25">
      <c r="A14" t="s">
        <v>15</v>
      </c>
      <c r="B14" s="4">
        <f>B13+1</f>
        <v>45286</v>
      </c>
      <c r="C14" s="4">
        <f>C13+1</f>
        <v>45652</v>
      </c>
      <c r="E14" s="4">
        <f t="shared" si="0"/>
        <v>45292</v>
      </c>
      <c r="F14">
        <f t="shared" si="1"/>
        <v>14</v>
      </c>
      <c r="G14" s="4">
        <f t="shared" si="2"/>
        <v>45292</v>
      </c>
      <c r="H14" s="1"/>
    </row>
    <row r="15" spans="1:8" x14ac:dyDescent="0.25">
      <c r="A15" t="s">
        <v>16</v>
      </c>
      <c r="B15" s="4">
        <f>DATE(B1,12,31)</f>
        <v>45291</v>
      </c>
      <c r="C15" s="4">
        <f>DATE(C1,12,31)</f>
        <v>45657</v>
      </c>
      <c r="E15" s="4">
        <f t="shared" si="0"/>
        <v>45299</v>
      </c>
      <c r="F15">
        <f t="shared" si="1"/>
        <v>15</v>
      </c>
      <c r="G15" s="4">
        <f t="shared" si="2"/>
        <v>45299</v>
      </c>
      <c r="H15" s="1"/>
    </row>
    <row r="16" spans="1:8" x14ac:dyDescent="0.25">
      <c r="E16" s="4">
        <f t="shared" si="0"/>
        <v>45306</v>
      </c>
      <c r="F16">
        <f t="shared" si="1"/>
        <v>16</v>
      </c>
      <c r="G16" s="4">
        <f t="shared" si="2"/>
        <v>45306</v>
      </c>
    </row>
    <row r="17" spans="1:7" x14ac:dyDescent="0.25">
      <c r="E17" s="4">
        <f t="shared" si="0"/>
        <v>45313</v>
      </c>
      <c r="F17">
        <f t="shared" si="1"/>
        <v>17</v>
      </c>
      <c r="G17" s="4">
        <f t="shared" si="2"/>
        <v>45313</v>
      </c>
    </row>
    <row r="18" spans="1:7" x14ac:dyDescent="0.25">
      <c r="A18" s="1" t="s">
        <v>1</v>
      </c>
      <c r="B18" s="3">
        <f>Grundeinstellungen!B1+52*7-1</f>
        <v>45564</v>
      </c>
      <c r="E18" s="4">
        <f t="shared" si="0"/>
        <v>45320</v>
      </c>
      <c r="F18">
        <f t="shared" si="1"/>
        <v>18</v>
      </c>
      <c r="G18" s="4">
        <f t="shared" si="2"/>
        <v>45320</v>
      </c>
    </row>
    <row r="19" spans="1:7" x14ac:dyDescent="0.25">
      <c r="A19" s="1" t="s">
        <v>17</v>
      </c>
      <c r="B19" s="4">
        <f>Grundeinstellungen!B1+51*7</f>
        <v>45558</v>
      </c>
      <c r="E19" s="4">
        <f t="shared" si="0"/>
        <v>45327</v>
      </c>
      <c r="F19">
        <f t="shared" si="1"/>
        <v>19</v>
      </c>
      <c r="G19" s="4">
        <f t="shared" si="2"/>
        <v>45327</v>
      </c>
    </row>
    <row r="20" spans="1:7" x14ac:dyDescent="0.25">
      <c r="E20" s="4">
        <f t="shared" si="0"/>
        <v>45334</v>
      </c>
      <c r="F20">
        <f t="shared" si="1"/>
        <v>20</v>
      </c>
      <c r="G20" s="4">
        <f t="shared" si="2"/>
        <v>45334</v>
      </c>
    </row>
    <row r="21" spans="1:7" x14ac:dyDescent="0.25">
      <c r="E21" s="4">
        <f t="shared" si="0"/>
        <v>45341</v>
      </c>
      <c r="F21">
        <f t="shared" si="1"/>
        <v>21</v>
      </c>
      <c r="G21" s="4">
        <f t="shared" si="2"/>
        <v>45341</v>
      </c>
    </row>
    <row r="22" spans="1:7" x14ac:dyDescent="0.25">
      <c r="B22" s="1"/>
      <c r="E22" s="4">
        <f t="shared" si="0"/>
        <v>45348</v>
      </c>
      <c r="F22">
        <f t="shared" si="1"/>
        <v>22</v>
      </c>
      <c r="G22" s="4">
        <f t="shared" si="2"/>
        <v>45348</v>
      </c>
    </row>
    <row r="23" spans="1:7" x14ac:dyDescent="0.25">
      <c r="E23" s="4">
        <f t="shared" si="0"/>
        <v>45355</v>
      </c>
      <c r="F23">
        <f t="shared" si="1"/>
        <v>23</v>
      </c>
      <c r="G23" s="4">
        <f t="shared" si="2"/>
        <v>45355</v>
      </c>
    </row>
    <row r="24" spans="1:7" x14ac:dyDescent="0.25">
      <c r="E24" s="4">
        <f t="shared" si="0"/>
        <v>45362</v>
      </c>
      <c r="F24">
        <f t="shared" si="1"/>
        <v>24</v>
      </c>
      <c r="G24" s="4">
        <f t="shared" si="2"/>
        <v>45362</v>
      </c>
    </row>
    <row r="25" spans="1:7" x14ac:dyDescent="0.25">
      <c r="E25" s="4">
        <f t="shared" si="0"/>
        <v>45369</v>
      </c>
      <c r="F25">
        <f t="shared" si="1"/>
        <v>25</v>
      </c>
      <c r="G25" s="4">
        <f t="shared" si="2"/>
        <v>45369</v>
      </c>
    </row>
    <row r="26" spans="1:7" x14ac:dyDescent="0.25">
      <c r="E26" s="4">
        <f t="shared" si="0"/>
        <v>45376</v>
      </c>
      <c r="F26">
        <f t="shared" si="1"/>
        <v>26</v>
      </c>
      <c r="G26" s="4">
        <f t="shared" si="2"/>
        <v>45376</v>
      </c>
    </row>
    <row r="27" spans="1:7" x14ac:dyDescent="0.25">
      <c r="E27" s="4">
        <f t="shared" si="0"/>
        <v>45383</v>
      </c>
      <c r="F27">
        <f t="shared" si="1"/>
        <v>27</v>
      </c>
      <c r="G27" s="4">
        <f t="shared" si="2"/>
        <v>45383</v>
      </c>
    </row>
    <row r="28" spans="1:7" x14ac:dyDescent="0.25">
      <c r="E28" s="4">
        <f t="shared" si="0"/>
        <v>45390</v>
      </c>
      <c r="F28">
        <f t="shared" si="1"/>
        <v>28</v>
      </c>
      <c r="G28" s="4">
        <f t="shared" si="2"/>
        <v>45390</v>
      </c>
    </row>
    <row r="29" spans="1:7" x14ac:dyDescent="0.25">
      <c r="E29" s="4">
        <f t="shared" si="0"/>
        <v>45397</v>
      </c>
      <c r="F29">
        <f t="shared" si="1"/>
        <v>29</v>
      </c>
      <c r="G29" s="4">
        <f t="shared" si="2"/>
        <v>45397</v>
      </c>
    </row>
    <row r="30" spans="1:7" x14ac:dyDescent="0.25">
      <c r="E30" s="4">
        <f t="shared" si="0"/>
        <v>45404</v>
      </c>
      <c r="F30">
        <f t="shared" si="1"/>
        <v>30</v>
      </c>
      <c r="G30" s="4">
        <f t="shared" si="2"/>
        <v>45404</v>
      </c>
    </row>
    <row r="31" spans="1:7" x14ac:dyDescent="0.25">
      <c r="E31" s="4">
        <f t="shared" si="0"/>
        <v>45411</v>
      </c>
      <c r="F31">
        <f t="shared" si="1"/>
        <v>31</v>
      </c>
      <c r="G31" s="4">
        <f t="shared" si="2"/>
        <v>45411</v>
      </c>
    </row>
    <row r="32" spans="1:7" x14ac:dyDescent="0.25">
      <c r="E32" s="4">
        <f t="shared" si="0"/>
        <v>45418</v>
      </c>
      <c r="F32">
        <f t="shared" si="1"/>
        <v>32</v>
      </c>
      <c r="G32" s="4">
        <f t="shared" si="2"/>
        <v>45418</v>
      </c>
    </row>
    <row r="33" spans="5:7" x14ac:dyDescent="0.25">
      <c r="E33" s="4">
        <f t="shared" si="0"/>
        <v>45425</v>
      </c>
      <c r="F33">
        <f t="shared" si="1"/>
        <v>33</v>
      </c>
      <c r="G33" s="4">
        <f t="shared" si="2"/>
        <v>45425</v>
      </c>
    </row>
    <row r="34" spans="5:7" x14ac:dyDescent="0.25">
      <c r="E34" s="4">
        <f t="shared" ref="E34:E52" si="3">E33+7</f>
        <v>45432</v>
      </c>
      <c r="F34">
        <f t="shared" ref="F34:F52" si="4">F33+1</f>
        <v>34</v>
      </c>
      <c r="G34" s="4">
        <f t="shared" ref="G34:G52" si="5">G33+7</f>
        <v>45432</v>
      </c>
    </row>
    <row r="35" spans="5:7" x14ac:dyDescent="0.25">
      <c r="E35" s="4">
        <f t="shared" si="3"/>
        <v>45439</v>
      </c>
      <c r="F35">
        <f t="shared" si="4"/>
        <v>35</v>
      </c>
      <c r="G35" s="4">
        <f t="shared" si="5"/>
        <v>45439</v>
      </c>
    </row>
    <row r="36" spans="5:7" x14ac:dyDescent="0.25">
      <c r="E36" s="4">
        <f t="shared" si="3"/>
        <v>45446</v>
      </c>
      <c r="F36">
        <f t="shared" si="4"/>
        <v>36</v>
      </c>
      <c r="G36" s="4">
        <f t="shared" si="5"/>
        <v>45446</v>
      </c>
    </row>
    <row r="37" spans="5:7" x14ac:dyDescent="0.25">
      <c r="E37" s="4">
        <f t="shared" si="3"/>
        <v>45453</v>
      </c>
      <c r="F37">
        <f t="shared" si="4"/>
        <v>37</v>
      </c>
      <c r="G37" s="4">
        <f t="shared" si="5"/>
        <v>45453</v>
      </c>
    </row>
    <row r="38" spans="5:7" x14ac:dyDescent="0.25">
      <c r="E38" s="4">
        <f t="shared" si="3"/>
        <v>45460</v>
      </c>
      <c r="F38">
        <f t="shared" si="4"/>
        <v>38</v>
      </c>
      <c r="G38" s="4">
        <f t="shared" si="5"/>
        <v>45460</v>
      </c>
    </row>
    <row r="39" spans="5:7" x14ac:dyDescent="0.25">
      <c r="E39" s="4">
        <f t="shared" si="3"/>
        <v>45467</v>
      </c>
      <c r="F39">
        <f t="shared" si="4"/>
        <v>39</v>
      </c>
      <c r="G39" s="4">
        <f t="shared" si="5"/>
        <v>45467</v>
      </c>
    </row>
    <row r="40" spans="5:7" x14ac:dyDescent="0.25">
      <c r="E40" s="4">
        <f t="shared" si="3"/>
        <v>45474</v>
      </c>
      <c r="F40">
        <f t="shared" si="4"/>
        <v>40</v>
      </c>
      <c r="G40" s="4">
        <f t="shared" si="5"/>
        <v>45474</v>
      </c>
    </row>
    <row r="41" spans="5:7" x14ac:dyDescent="0.25">
      <c r="E41" s="4">
        <f t="shared" si="3"/>
        <v>45481</v>
      </c>
      <c r="F41">
        <f t="shared" si="4"/>
        <v>41</v>
      </c>
      <c r="G41" s="4">
        <f t="shared" si="5"/>
        <v>45481</v>
      </c>
    </row>
    <row r="42" spans="5:7" x14ac:dyDescent="0.25">
      <c r="E42" s="4">
        <f t="shared" si="3"/>
        <v>45488</v>
      </c>
      <c r="F42">
        <f t="shared" si="4"/>
        <v>42</v>
      </c>
      <c r="G42" s="4">
        <f t="shared" si="5"/>
        <v>45488</v>
      </c>
    </row>
    <row r="43" spans="5:7" x14ac:dyDescent="0.25">
      <c r="E43" s="4">
        <f t="shared" si="3"/>
        <v>45495</v>
      </c>
      <c r="F43">
        <f t="shared" si="4"/>
        <v>43</v>
      </c>
      <c r="G43" s="4">
        <f t="shared" si="5"/>
        <v>45495</v>
      </c>
    </row>
    <row r="44" spans="5:7" x14ac:dyDescent="0.25">
      <c r="E44" s="4">
        <f t="shared" si="3"/>
        <v>45502</v>
      </c>
      <c r="F44">
        <f t="shared" si="4"/>
        <v>44</v>
      </c>
      <c r="G44" s="4">
        <f t="shared" si="5"/>
        <v>45502</v>
      </c>
    </row>
    <row r="45" spans="5:7" x14ac:dyDescent="0.25">
      <c r="E45" s="4">
        <f t="shared" si="3"/>
        <v>45509</v>
      </c>
      <c r="F45">
        <f t="shared" si="4"/>
        <v>45</v>
      </c>
      <c r="G45" s="4">
        <f t="shared" si="5"/>
        <v>45509</v>
      </c>
    </row>
    <row r="46" spans="5:7" x14ac:dyDescent="0.25">
      <c r="E46" s="4">
        <f t="shared" si="3"/>
        <v>45516</v>
      </c>
      <c r="F46">
        <f t="shared" si="4"/>
        <v>46</v>
      </c>
      <c r="G46" s="4">
        <f t="shared" si="5"/>
        <v>45516</v>
      </c>
    </row>
    <row r="47" spans="5:7" x14ac:dyDescent="0.25">
      <c r="E47" s="4">
        <f t="shared" si="3"/>
        <v>45523</v>
      </c>
      <c r="F47">
        <f t="shared" si="4"/>
        <v>47</v>
      </c>
      <c r="G47" s="4">
        <f t="shared" si="5"/>
        <v>45523</v>
      </c>
    </row>
    <row r="48" spans="5:7" x14ac:dyDescent="0.25">
      <c r="E48" s="4">
        <f t="shared" si="3"/>
        <v>45530</v>
      </c>
      <c r="F48">
        <f t="shared" si="4"/>
        <v>48</v>
      </c>
      <c r="G48" s="4">
        <f t="shared" si="5"/>
        <v>45530</v>
      </c>
    </row>
    <row r="49" spans="5:7" x14ac:dyDescent="0.25">
      <c r="E49" s="4">
        <f t="shared" si="3"/>
        <v>45537</v>
      </c>
      <c r="F49">
        <f t="shared" si="4"/>
        <v>49</v>
      </c>
      <c r="G49" s="4">
        <f t="shared" si="5"/>
        <v>45537</v>
      </c>
    </row>
    <row r="50" spans="5:7" x14ac:dyDescent="0.25">
      <c r="E50" s="4">
        <f t="shared" si="3"/>
        <v>45544</v>
      </c>
      <c r="F50">
        <f t="shared" si="4"/>
        <v>50</v>
      </c>
      <c r="G50" s="4">
        <f t="shared" si="5"/>
        <v>45544</v>
      </c>
    </row>
    <row r="51" spans="5:7" x14ac:dyDescent="0.25">
      <c r="E51" s="4">
        <f t="shared" si="3"/>
        <v>45551</v>
      </c>
      <c r="F51">
        <f t="shared" si="4"/>
        <v>51</v>
      </c>
      <c r="G51" s="4">
        <f t="shared" si="5"/>
        <v>45551</v>
      </c>
    </row>
    <row r="52" spans="5:7" x14ac:dyDescent="0.25">
      <c r="E52" s="4">
        <f t="shared" si="3"/>
        <v>45558</v>
      </c>
      <c r="F52">
        <f t="shared" si="4"/>
        <v>52</v>
      </c>
      <c r="G52" s="4">
        <f t="shared" si="5"/>
        <v>45558</v>
      </c>
    </row>
  </sheetData>
  <sheetProtection sheet="1" objects="1" scenarios="1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Grundeinstellungen</vt:lpstr>
      <vt:lpstr>Lehrgangsinhalte</vt:lpstr>
      <vt:lpstr>Stundenplan</vt:lpstr>
      <vt:lpstr>Ausdruck</vt:lpstr>
      <vt:lpstr>Berechnungen</vt:lpstr>
      <vt:lpstr>Ausdruck!Druckbereich</vt:lpstr>
    </vt:vector>
  </TitlesOfParts>
  <Company>Bundeswehr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TimKoehn</dc:creator>
  <cp:lastModifiedBy>Tim Köhn</cp:lastModifiedBy>
  <cp:lastPrinted>2023-12-13T05:09:04Z</cp:lastPrinted>
  <dcterms:created xsi:type="dcterms:W3CDTF">2023-11-21T14:11:24Z</dcterms:created>
  <dcterms:modified xsi:type="dcterms:W3CDTF">2026-09-03T10:58:31Z</dcterms:modified>
</cp:coreProperties>
</file>