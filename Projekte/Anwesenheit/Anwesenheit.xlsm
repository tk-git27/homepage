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showInkAnnotation="0" codeName="DieseArbeitsmappe" defaultThemeVersion="166925"/>
  <mc:AlternateContent xmlns:mc="http://schemas.openxmlformats.org/markup-compatibility/2006">
    <mc:Choice Requires="x15">
      <x15ac:absPath xmlns:x15ac="http://schemas.microsoft.com/office/spreadsheetml/2010/11/ac" url="D:\_Sortieren\Programmieren\Internetauftritt\Projekte\Anwesenheit\"/>
    </mc:Choice>
  </mc:AlternateContent>
  <xr:revisionPtr revIDLastSave="0" documentId="13_ncr:1_{4B7E09FD-0A99-419D-8149-235F2E511539}" xr6:coauthVersionLast="47" xr6:coauthVersionMax="47" xr10:uidLastSave="{00000000-0000-0000-0000-000000000000}"/>
  <bookViews>
    <workbookView xWindow="-120" yWindow="-120" windowWidth="29040" windowHeight="15720" tabRatio="630" activeTab="1" autoFilterDateGrouping="0" xr2:uid="{00000000-000D-0000-FFFF-FFFF00000000}"/>
  </bookViews>
  <sheets>
    <sheet name="Einstellungen" sheetId="2" r:id="rId1"/>
    <sheet name="Datenbank" sheetId="1" r:id="rId2"/>
    <sheet name="P_Anlegen" sheetId="3" r:id="rId3"/>
    <sheet name="P_Bearbeiten" sheetId="7" r:id="rId4"/>
  </sheets>
  <definedNames>
    <definedName name="_xlnm._FilterDatabase" localSheetId="1" hidden="1">Datenbank!$E$1:$M$1</definedName>
    <definedName name="Datenschnitt_HA">#N/A</definedName>
    <definedName name="Datenschnitt_Messe">#N/A</definedName>
    <definedName name="_xlnm.Print_Area" localSheetId="3">P_Bearbeiten!$A$1:$AB$49</definedName>
  </definedNames>
  <calcPr calcId="191029"/>
  <extLst>
    <ext xmlns:x14="http://schemas.microsoft.com/office/spreadsheetml/2009/9/main" uri="{79F54976-1DA5-4618-B147-4CDE4B953A38}">
      <x14:workbookPr defaultImageDpi="32767"/>
    </ext>
    <ext xmlns:x15="http://schemas.microsoft.com/office/spreadsheetml/2010/11/main" uri="{46BE6895-7355-4a93-B00E-2C351335B9C9}">
      <x15:slicerCaches xmlns:x14="http://schemas.microsoft.com/office/spreadsheetml/2009/9/main">
        <x14:slicerCache r:id="rId5"/>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9" i="1" l="1"/>
  <c r="D3" i="3"/>
  <c r="E1" i="2"/>
  <c r="G4" i="1" l="1"/>
  <c r="G5" i="1" s="1"/>
  <c r="G3" i="1" s="1"/>
  <c r="G6" i="1" l="1"/>
  <c r="C11" i="1" l="1"/>
  <c r="NJ11" i="1" l="1"/>
  <c r="F8" i="1" l="1"/>
  <c r="F10" i="1" l="1"/>
  <c r="F23" i="1" l="1"/>
  <c r="F24" i="1"/>
  <c r="E4" i="2" l="1"/>
  <c r="E8" i="2" s="1"/>
  <c r="E9" i="2" s="1"/>
  <c r="E10" i="2"/>
  <c r="E15" i="2"/>
  <c r="E11" i="2"/>
  <c r="E2" i="2"/>
  <c r="E12" i="2"/>
  <c r="E13" i="2" s="1"/>
  <c r="E14" i="2" s="1"/>
  <c r="E6" i="2"/>
  <c r="F11" i="3" l="1"/>
  <c r="F11" i="7"/>
  <c r="B11" i="7"/>
  <c r="E3" i="2"/>
  <c r="B11" i="3"/>
  <c r="E7" i="2"/>
  <c r="E5" i="2"/>
  <c r="H4" i="1" l="1"/>
  <c r="G11" i="1" l="1"/>
  <c r="H5" i="1"/>
  <c r="H3" i="1" s="1"/>
  <c r="H6" i="1"/>
  <c r="I4" i="1"/>
  <c r="H11" i="1" l="1"/>
  <c r="I5" i="1"/>
  <c r="I3" i="1" s="1"/>
  <c r="J4" i="1"/>
  <c r="I6" i="1"/>
  <c r="I11" i="1" l="1"/>
  <c r="J5" i="1"/>
  <c r="J3" i="1" s="1"/>
  <c r="J6" i="1"/>
  <c r="K4" i="1"/>
  <c r="J11" i="1" l="1"/>
  <c r="K5" i="1"/>
  <c r="K3" i="1" s="1"/>
  <c r="L4" i="1"/>
  <c r="K6" i="1"/>
  <c r="K11" i="1" l="1"/>
  <c r="L5" i="1"/>
  <c r="L3" i="1" s="1"/>
  <c r="L6" i="1"/>
  <c r="M4" i="1"/>
  <c r="L11" i="1" l="1"/>
  <c r="M5" i="1"/>
  <c r="M3" i="1" s="1"/>
  <c r="N4" i="1"/>
  <c r="M6" i="1"/>
  <c r="M11" i="1" l="1"/>
  <c r="N5" i="1"/>
  <c r="N3" i="1" s="1"/>
  <c r="N6" i="1"/>
  <c r="O4" i="1"/>
  <c r="N11" i="1" l="1"/>
  <c r="O5" i="1"/>
  <c r="O3" i="1" s="1"/>
  <c r="P4" i="1"/>
  <c r="O6" i="1"/>
  <c r="O11" i="1" l="1"/>
  <c r="P5" i="1"/>
  <c r="P6" i="1"/>
  <c r="Q4" i="1"/>
  <c r="P11" i="1" l="1"/>
  <c r="P3" i="1"/>
  <c r="Q5" i="1"/>
  <c r="R4" i="1"/>
  <c r="Q6" i="1"/>
  <c r="Q11" i="1" l="1"/>
  <c r="Q3" i="1"/>
  <c r="R5" i="1"/>
  <c r="R6" i="1"/>
  <c r="S4" i="1"/>
  <c r="R11" i="1" l="1"/>
  <c r="R3" i="1"/>
  <c r="S5" i="1"/>
  <c r="T4" i="1"/>
  <c r="S6" i="1"/>
  <c r="S11" i="1" l="1"/>
  <c r="S3" i="1"/>
  <c r="T5" i="1"/>
  <c r="T6" i="1"/>
  <c r="U4" i="1"/>
  <c r="T11" i="1" l="1"/>
  <c r="T3" i="1"/>
  <c r="U5" i="1"/>
  <c r="V4" i="1"/>
  <c r="U6" i="1"/>
  <c r="U11" i="1" l="1"/>
  <c r="U3" i="1"/>
  <c r="GU11" i="1"/>
  <c r="V5" i="1"/>
  <c r="V6" i="1"/>
  <c r="W4" i="1"/>
  <c r="V11" i="1" l="1"/>
  <c r="V3" i="1"/>
  <c r="W5" i="1"/>
  <c r="X4" i="1"/>
  <c r="W6" i="1"/>
  <c r="W11" i="1" l="1"/>
  <c r="W3" i="1"/>
  <c r="X5" i="1"/>
  <c r="X6" i="1"/>
  <c r="Y4" i="1"/>
  <c r="X11" i="1" l="1"/>
  <c r="X3" i="1"/>
  <c r="Y5" i="1"/>
  <c r="Z4" i="1"/>
  <c r="Y6" i="1"/>
  <c r="Y11" i="1" l="1"/>
  <c r="Y3" i="1"/>
  <c r="Z5" i="1"/>
  <c r="Z6" i="1"/>
  <c r="AA4" i="1"/>
  <c r="Z11" i="1" l="1"/>
  <c r="Z3" i="1"/>
  <c r="AA5" i="1"/>
  <c r="AB4" i="1"/>
  <c r="AA6" i="1"/>
  <c r="AA11" i="1" l="1"/>
  <c r="AA3" i="1"/>
  <c r="AB5" i="1"/>
  <c r="AB6" i="1"/>
  <c r="AC4" i="1"/>
  <c r="AB11" i="1" l="1"/>
  <c r="AB3" i="1"/>
  <c r="AC5" i="1"/>
  <c r="AD4" i="1"/>
  <c r="AC6" i="1"/>
  <c r="AC11" i="1" l="1"/>
  <c r="AC3" i="1"/>
  <c r="AD5" i="1"/>
  <c r="AD6" i="1"/>
  <c r="AE4" i="1"/>
  <c r="AD11" i="1" l="1"/>
  <c r="AD3" i="1"/>
  <c r="AE5" i="1"/>
  <c r="AF4" i="1"/>
  <c r="AE6" i="1"/>
  <c r="AE11" i="1" l="1"/>
  <c r="AE3" i="1"/>
  <c r="AF5" i="1"/>
  <c r="AF6" i="1"/>
  <c r="AG4" i="1"/>
  <c r="AF11" i="1" l="1"/>
  <c r="AF3" i="1"/>
  <c r="AG5" i="1"/>
  <c r="AH4" i="1"/>
  <c r="AG6" i="1"/>
  <c r="AG11" i="1" l="1"/>
  <c r="AG3" i="1"/>
  <c r="AH5" i="1"/>
  <c r="AH6" i="1"/>
  <c r="AI4" i="1"/>
  <c r="AH11" i="1" l="1"/>
  <c r="AH3" i="1"/>
  <c r="AI5" i="1"/>
  <c r="AJ4" i="1"/>
  <c r="AI6" i="1"/>
  <c r="AI11" i="1" l="1"/>
  <c r="AI3" i="1"/>
  <c r="AJ5" i="1"/>
  <c r="AJ6" i="1"/>
  <c r="AK4" i="1"/>
  <c r="AJ11" i="1" l="1"/>
  <c r="AJ3" i="1"/>
  <c r="AK5" i="1"/>
  <c r="AL4" i="1"/>
  <c r="AK6" i="1"/>
  <c r="AK11" i="1" l="1"/>
  <c r="AK3" i="1"/>
  <c r="AL2" i="1"/>
  <c r="AL5" i="1"/>
  <c r="AL6" i="1"/>
  <c r="AM4" i="1"/>
  <c r="AL11" i="1" l="1"/>
  <c r="AL3" i="1"/>
  <c r="AN4" i="1"/>
  <c r="AM5" i="1"/>
  <c r="AM2" i="1"/>
  <c r="AM6" i="1"/>
  <c r="AM11" i="1" l="1"/>
  <c r="AM3" i="1"/>
  <c r="AO4" i="1"/>
  <c r="AN5" i="1"/>
  <c r="AN6" i="1"/>
  <c r="AN2" i="1"/>
  <c r="AN11" i="1" l="1"/>
  <c r="AN3" i="1"/>
  <c r="AO2" i="1"/>
  <c r="AO6" i="1"/>
  <c r="AO5" i="1"/>
  <c r="AP4" i="1"/>
  <c r="AO11" i="1" l="1"/>
  <c r="AO3" i="1"/>
  <c r="AP5" i="1"/>
  <c r="AP6" i="1"/>
  <c r="AQ4" i="1"/>
  <c r="AP2" i="1"/>
  <c r="AP11" i="1" l="1"/>
  <c r="AP3" i="1"/>
  <c r="AQ5" i="1"/>
  <c r="AQ6" i="1"/>
  <c r="AR4" i="1"/>
  <c r="AQ2" i="1"/>
  <c r="AQ11" i="1" l="1"/>
  <c r="AQ3" i="1"/>
  <c r="AR5" i="1"/>
  <c r="AS4" i="1"/>
  <c r="AR2" i="1"/>
  <c r="AR6" i="1"/>
  <c r="AR11" i="1" l="1"/>
  <c r="AR3" i="1"/>
  <c r="AS6" i="1"/>
  <c r="AT4" i="1"/>
  <c r="AS2" i="1"/>
  <c r="AS5" i="1"/>
  <c r="AS11" i="1" l="1"/>
  <c r="AS3" i="1"/>
  <c r="AT6" i="1"/>
  <c r="AT2" i="1"/>
  <c r="AT5" i="1"/>
  <c r="AU4" i="1"/>
  <c r="AT11" i="1" l="1"/>
  <c r="AT3" i="1"/>
  <c r="AV4" i="1"/>
  <c r="AU2" i="1"/>
  <c r="AU5" i="1"/>
  <c r="AU6" i="1"/>
  <c r="AU11" i="1" l="1"/>
  <c r="AU3" i="1"/>
  <c r="AW4" i="1"/>
  <c r="AV5" i="1"/>
  <c r="AV6" i="1"/>
  <c r="AV2" i="1"/>
  <c r="AV11" i="1" l="1"/>
  <c r="AV3" i="1"/>
  <c r="AW2" i="1"/>
  <c r="AW6" i="1"/>
  <c r="AW5" i="1"/>
  <c r="AX4" i="1"/>
  <c r="AW11" i="1" l="1"/>
  <c r="AW3" i="1"/>
  <c r="AX2" i="1"/>
  <c r="AY4" i="1"/>
  <c r="AX6" i="1"/>
  <c r="AX5" i="1"/>
  <c r="AX11" i="1" l="1"/>
  <c r="AX3" i="1"/>
  <c r="AY6" i="1"/>
  <c r="AY2" i="1"/>
  <c r="AY5" i="1"/>
  <c r="AZ4" i="1"/>
  <c r="AY11" i="1" l="1"/>
  <c r="AY3" i="1"/>
  <c r="AZ5" i="1"/>
  <c r="AZ2" i="1"/>
  <c r="BA4" i="1"/>
  <c r="AZ6" i="1"/>
  <c r="AZ11" i="1" l="1"/>
  <c r="AZ3" i="1"/>
  <c r="BA5" i="1"/>
  <c r="BA6" i="1"/>
  <c r="BB4" i="1"/>
  <c r="BA2" i="1"/>
  <c r="BA11" i="1" l="1"/>
  <c r="BA3" i="1"/>
  <c r="BB6" i="1"/>
  <c r="BC4" i="1"/>
  <c r="BB2" i="1"/>
  <c r="BB5" i="1"/>
  <c r="BB11" i="1" l="1"/>
  <c r="BB3" i="1"/>
  <c r="BD4" i="1"/>
  <c r="BC5" i="1"/>
  <c r="BC6" i="1"/>
  <c r="BC2" i="1"/>
  <c r="BC11" i="1" l="1"/>
  <c r="BC3" i="1"/>
  <c r="BE4" i="1"/>
  <c r="BD5" i="1"/>
  <c r="BD2" i="1"/>
  <c r="BD6" i="1"/>
  <c r="BD11" i="1" l="1"/>
  <c r="BD3" i="1"/>
  <c r="BE6" i="1"/>
  <c r="BF4" i="1"/>
  <c r="BE5" i="1"/>
  <c r="BE2" i="1"/>
  <c r="BE11" i="1" l="1"/>
  <c r="BE3" i="1"/>
  <c r="BF2" i="1"/>
  <c r="BF5" i="1"/>
  <c r="BF6" i="1"/>
  <c r="BG4" i="1"/>
  <c r="BF11" i="1" l="1"/>
  <c r="BF3" i="1"/>
  <c r="BG6" i="1"/>
  <c r="BH4" i="1"/>
  <c r="BG5" i="1"/>
  <c r="BG2" i="1"/>
  <c r="BG11" i="1" l="1"/>
  <c r="BG3" i="1"/>
  <c r="BH2" i="1"/>
  <c r="BH6" i="1"/>
  <c r="BH5" i="1"/>
  <c r="BI4" i="1"/>
  <c r="BH11" i="1" l="1"/>
  <c r="BH3" i="1"/>
  <c r="BJ4" i="1"/>
  <c r="BI5" i="1"/>
  <c r="BI6" i="1"/>
  <c r="BI2" i="1"/>
  <c r="BI11" i="1" l="1"/>
  <c r="BI3" i="1"/>
  <c r="BJ6" i="1"/>
  <c r="BJ5" i="1"/>
  <c r="BJ2" i="1"/>
  <c r="BK4" i="1"/>
  <c r="BJ11" i="1" l="1"/>
  <c r="BJ3" i="1"/>
  <c r="BK5" i="1"/>
  <c r="BK2" i="1"/>
  <c r="BL4" i="1"/>
  <c r="BK6" i="1"/>
  <c r="BK11" i="1" l="1"/>
  <c r="BK3" i="1"/>
  <c r="BM4" i="1"/>
  <c r="BL2" i="1"/>
  <c r="BL6" i="1"/>
  <c r="BL5" i="1"/>
  <c r="BL11" i="1" l="1"/>
  <c r="BL3" i="1"/>
  <c r="BM6" i="1"/>
  <c r="BM5" i="1"/>
  <c r="BN4" i="1"/>
  <c r="BM2" i="1"/>
  <c r="BM11" i="1" l="1"/>
  <c r="BM3" i="1"/>
  <c r="BN5" i="1"/>
  <c r="BN2" i="1"/>
  <c r="BN6" i="1"/>
  <c r="BO4" i="1"/>
  <c r="BN11" i="1" l="1"/>
  <c r="BN3" i="1"/>
  <c r="BP4" i="1"/>
  <c r="BO6" i="1"/>
  <c r="BO5" i="1"/>
  <c r="BO11" i="1" l="1"/>
  <c r="BO3" i="1"/>
  <c r="BP5" i="1"/>
  <c r="BQ4" i="1"/>
  <c r="BP6" i="1"/>
  <c r="BP11" i="1" l="1"/>
  <c r="BP3" i="1"/>
  <c r="BQ5" i="1"/>
  <c r="BQ6" i="1"/>
  <c r="BR4" i="1"/>
  <c r="BQ11" i="1" l="1"/>
  <c r="BQ3" i="1"/>
  <c r="BR5" i="1"/>
  <c r="BS4" i="1"/>
  <c r="BR6" i="1"/>
  <c r="BR11" i="1" l="1"/>
  <c r="BR3" i="1"/>
  <c r="BT4" i="1"/>
  <c r="BS5" i="1"/>
  <c r="BS6" i="1"/>
  <c r="BS11" i="1" l="1"/>
  <c r="BS3" i="1"/>
  <c r="BT5" i="1"/>
  <c r="BT6" i="1"/>
  <c r="BU4" i="1"/>
  <c r="BT11" i="1" l="1"/>
  <c r="BT3" i="1"/>
  <c r="BV4" i="1"/>
  <c r="BU6" i="1"/>
  <c r="BU5" i="1"/>
  <c r="BU11" i="1" l="1"/>
  <c r="BU3" i="1"/>
  <c r="BV5" i="1"/>
  <c r="BV6" i="1"/>
  <c r="BW4" i="1"/>
  <c r="BV11" i="1" l="1"/>
  <c r="BV3" i="1"/>
  <c r="BW5" i="1"/>
  <c r="BW6" i="1"/>
  <c r="BX4" i="1"/>
  <c r="BW11" i="1" l="1"/>
  <c r="BW3" i="1"/>
  <c r="BX5" i="1"/>
  <c r="BY4" i="1"/>
  <c r="BX6" i="1"/>
  <c r="BX11" i="1" l="1"/>
  <c r="BX3" i="1"/>
  <c r="BY5" i="1"/>
  <c r="BZ4" i="1"/>
  <c r="BY6" i="1"/>
  <c r="BY11" i="1" l="1"/>
  <c r="BY3" i="1"/>
  <c r="BZ5" i="1"/>
  <c r="BZ6" i="1"/>
  <c r="CA4" i="1"/>
  <c r="BZ11" i="1" l="1"/>
  <c r="BZ3" i="1"/>
  <c r="CA6" i="1"/>
  <c r="CB4" i="1"/>
  <c r="CA5" i="1"/>
  <c r="CA11" i="1" l="1"/>
  <c r="CA3" i="1"/>
  <c r="CB5" i="1"/>
  <c r="CC4" i="1"/>
  <c r="CB6" i="1"/>
  <c r="CB11" i="1" l="1"/>
  <c r="CB3" i="1"/>
  <c r="CC6" i="1"/>
  <c r="CD4" i="1"/>
  <c r="CC5" i="1"/>
  <c r="CC11" i="1" l="1"/>
  <c r="CC3" i="1"/>
  <c r="CD5" i="1"/>
  <c r="CD6" i="1"/>
  <c r="CE4" i="1"/>
  <c r="CD11" i="1" l="1"/>
  <c r="CD3" i="1"/>
  <c r="CF4" i="1"/>
  <c r="CE5" i="1"/>
  <c r="CE6" i="1"/>
  <c r="CE11" i="1" l="1"/>
  <c r="CE3" i="1"/>
  <c r="CF5" i="1"/>
  <c r="CG4" i="1"/>
  <c r="CF6" i="1"/>
  <c r="CF11" i="1" l="1"/>
  <c r="CF3" i="1"/>
  <c r="CG5" i="1"/>
  <c r="CG6" i="1"/>
  <c r="CH4" i="1"/>
  <c r="CG11" i="1" l="1"/>
  <c r="CG3" i="1"/>
  <c r="CH5" i="1"/>
  <c r="CI4" i="1"/>
  <c r="CH6" i="1"/>
  <c r="CH11" i="1" l="1"/>
  <c r="CH3" i="1"/>
  <c r="CJ4" i="1"/>
  <c r="CI5" i="1"/>
  <c r="CI6" i="1"/>
  <c r="CI11" i="1" l="1"/>
  <c r="CI3" i="1"/>
  <c r="CJ5" i="1"/>
  <c r="CJ6" i="1"/>
  <c r="CK4" i="1"/>
  <c r="CJ11" i="1" l="1"/>
  <c r="CJ3" i="1"/>
  <c r="CL4" i="1"/>
  <c r="CK6" i="1"/>
  <c r="CK5" i="1"/>
  <c r="CK11" i="1" l="1"/>
  <c r="CK3" i="1"/>
  <c r="CL5" i="1"/>
  <c r="CL6" i="1"/>
  <c r="CM4" i="1"/>
  <c r="CL11" i="1" l="1"/>
  <c r="CL3" i="1"/>
  <c r="CM5" i="1"/>
  <c r="CM6" i="1"/>
  <c r="CN4" i="1"/>
  <c r="CM11" i="1" l="1"/>
  <c r="CM3" i="1"/>
  <c r="CN5" i="1"/>
  <c r="CO4" i="1"/>
  <c r="CN6" i="1"/>
  <c r="CN11" i="1" l="1"/>
  <c r="CN3" i="1"/>
  <c r="CO5" i="1"/>
  <c r="CP4" i="1"/>
  <c r="CO6" i="1"/>
  <c r="CO11" i="1" l="1"/>
  <c r="CO3" i="1"/>
  <c r="CP5" i="1"/>
  <c r="CP6" i="1"/>
  <c r="CQ4" i="1"/>
  <c r="CP11" i="1" l="1"/>
  <c r="CP3" i="1"/>
  <c r="CQ6" i="1"/>
  <c r="CR4" i="1"/>
  <c r="CQ5" i="1"/>
  <c r="CQ11" i="1" l="1"/>
  <c r="CQ3" i="1"/>
  <c r="CR5" i="1"/>
  <c r="CS4" i="1"/>
  <c r="CR6" i="1"/>
  <c r="CR11" i="1" l="1"/>
  <c r="CR3" i="1"/>
  <c r="CS6" i="1"/>
  <c r="CT4" i="1"/>
  <c r="CS5" i="1"/>
  <c r="CS11" i="1" l="1"/>
  <c r="CS3" i="1"/>
  <c r="CT5" i="1"/>
  <c r="CT6" i="1"/>
  <c r="CU4" i="1"/>
  <c r="CT11" i="1" l="1"/>
  <c r="CT3" i="1"/>
  <c r="CV4" i="1"/>
  <c r="CU5" i="1"/>
  <c r="CU6" i="1"/>
  <c r="CU11" i="1" l="1"/>
  <c r="CU3" i="1"/>
  <c r="CV5" i="1"/>
  <c r="CW4" i="1"/>
  <c r="CV6" i="1"/>
  <c r="CV11" i="1" l="1"/>
  <c r="CV3" i="1"/>
  <c r="CW5" i="1"/>
  <c r="CW6" i="1"/>
  <c r="CX4" i="1"/>
  <c r="CW11" i="1" l="1"/>
  <c r="CW3" i="1"/>
  <c r="CX5" i="1"/>
  <c r="CY4" i="1"/>
  <c r="CX6" i="1"/>
  <c r="CX11" i="1" l="1"/>
  <c r="CX3" i="1"/>
  <c r="CZ4" i="1"/>
  <c r="CY5" i="1"/>
  <c r="CY6" i="1"/>
  <c r="CY11" i="1" l="1"/>
  <c r="CY3" i="1"/>
  <c r="CZ5" i="1"/>
  <c r="CZ6" i="1"/>
  <c r="DA4" i="1"/>
  <c r="CZ11" i="1" l="1"/>
  <c r="CZ3" i="1"/>
  <c r="DB4" i="1"/>
  <c r="DA6" i="1"/>
  <c r="DA5" i="1"/>
  <c r="DA11" i="1" l="1"/>
  <c r="DA3" i="1"/>
  <c r="DB5" i="1"/>
  <c r="DB6" i="1"/>
  <c r="DC4" i="1"/>
  <c r="DB11" i="1" l="1"/>
  <c r="DB3" i="1"/>
  <c r="DC5" i="1"/>
  <c r="DC6" i="1"/>
  <c r="DD4" i="1"/>
  <c r="DC11" i="1" l="1"/>
  <c r="DC3" i="1"/>
  <c r="DD5" i="1"/>
  <c r="DE4" i="1"/>
  <c r="DD6" i="1"/>
  <c r="DD11" i="1" l="1"/>
  <c r="DD3" i="1"/>
  <c r="DE5" i="1"/>
  <c r="DF4" i="1"/>
  <c r="DE6" i="1"/>
  <c r="DE11" i="1" l="1"/>
  <c r="DE3" i="1"/>
  <c r="DF5" i="1"/>
  <c r="DF6" i="1"/>
  <c r="DG4" i="1"/>
  <c r="DF11" i="1" l="1"/>
  <c r="DF3" i="1"/>
  <c r="DG6" i="1"/>
  <c r="DH4" i="1"/>
  <c r="DG5" i="1"/>
  <c r="DG11" i="1" l="1"/>
  <c r="DG3" i="1"/>
  <c r="DH5" i="1"/>
  <c r="DI4" i="1"/>
  <c r="DH6" i="1"/>
  <c r="DH11" i="1" l="1"/>
  <c r="DH3" i="1"/>
  <c r="DI6" i="1"/>
  <c r="DJ4" i="1"/>
  <c r="DI5" i="1"/>
  <c r="DI11" i="1" l="1"/>
  <c r="DI3" i="1"/>
  <c r="DJ5" i="1"/>
  <c r="DJ6" i="1"/>
  <c r="DK4" i="1"/>
  <c r="DJ11" i="1" l="1"/>
  <c r="DJ3" i="1"/>
  <c r="DL4" i="1"/>
  <c r="DK5" i="1"/>
  <c r="DK6" i="1"/>
  <c r="DK11" i="1" l="1"/>
  <c r="DK3" i="1"/>
  <c r="DL5" i="1"/>
  <c r="DM4" i="1"/>
  <c r="DL6" i="1"/>
  <c r="DL11" i="1" l="1"/>
  <c r="DL3" i="1"/>
  <c r="DM5" i="1"/>
  <c r="DM6" i="1"/>
  <c r="DN4" i="1"/>
  <c r="DM11" i="1" l="1"/>
  <c r="DM3" i="1"/>
  <c r="DN5" i="1"/>
  <c r="DO4" i="1"/>
  <c r="DN6" i="1"/>
  <c r="DN11" i="1" l="1"/>
  <c r="DN3" i="1"/>
  <c r="DP4" i="1"/>
  <c r="DO5" i="1"/>
  <c r="DO6" i="1"/>
  <c r="DO11" i="1" l="1"/>
  <c r="DO3" i="1"/>
  <c r="DP5" i="1"/>
  <c r="DP6" i="1"/>
  <c r="DQ4" i="1"/>
  <c r="DP11" i="1" l="1"/>
  <c r="DP3" i="1"/>
  <c r="DR4" i="1"/>
  <c r="DQ6" i="1"/>
  <c r="DQ5" i="1"/>
  <c r="DQ11" i="1" l="1"/>
  <c r="DQ3" i="1"/>
  <c r="DS4" i="1"/>
  <c r="DR5" i="1"/>
  <c r="DR6" i="1"/>
  <c r="DR11" i="1" l="1"/>
  <c r="DR3" i="1"/>
  <c r="DT4" i="1"/>
  <c r="DS6" i="1"/>
  <c r="DS5" i="1"/>
  <c r="DS11" i="1" l="1"/>
  <c r="DS3" i="1"/>
  <c r="DU4" i="1"/>
  <c r="DT5" i="1"/>
  <c r="DT6" i="1"/>
  <c r="DT11" i="1" l="1"/>
  <c r="DT3" i="1"/>
  <c r="DV4" i="1"/>
  <c r="DU5" i="1"/>
  <c r="DU6" i="1"/>
  <c r="DU11" i="1" l="1"/>
  <c r="DU3" i="1"/>
  <c r="DW4" i="1"/>
  <c r="DV5" i="1"/>
  <c r="DV6" i="1"/>
  <c r="DV11" i="1" l="1"/>
  <c r="DV3" i="1"/>
  <c r="DX4" i="1"/>
  <c r="DW6" i="1"/>
  <c r="DW5" i="1"/>
  <c r="DW11" i="1" l="1"/>
  <c r="DW3" i="1"/>
  <c r="DY4" i="1"/>
  <c r="DX5" i="1"/>
  <c r="DX6" i="1"/>
  <c r="DX11" i="1" l="1"/>
  <c r="DX3" i="1"/>
  <c r="DZ4" i="1"/>
  <c r="DY6" i="1"/>
  <c r="DY5" i="1"/>
  <c r="DY11" i="1" l="1"/>
  <c r="DY3" i="1"/>
  <c r="EA4" i="1"/>
  <c r="DZ5" i="1"/>
  <c r="DZ6" i="1"/>
  <c r="DZ11" i="1" l="1"/>
  <c r="DZ3" i="1"/>
  <c r="EB4" i="1"/>
  <c r="EA6" i="1"/>
  <c r="EA5" i="1"/>
  <c r="EA11" i="1" l="1"/>
  <c r="EA3" i="1"/>
  <c r="EC4" i="1"/>
  <c r="EB5" i="1"/>
  <c r="EB6" i="1"/>
  <c r="EB11" i="1" l="1"/>
  <c r="EB3" i="1"/>
  <c r="ED4" i="1"/>
  <c r="EC5" i="1"/>
  <c r="EC6" i="1"/>
  <c r="EC11" i="1" l="1"/>
  <c r="EC3" i="1"/>
  <c r="EE4" i="1"/>
  <c r="ED6" i="1"/>
  <c r="ED5" i="1"/>
  <c r="ED11" i="1" l="1"/>
  <c r="ED3" i="1"/>
  <c r="EF4" i="1"/>
  <c r="EE6" i="1"/>
  <c r="EE5" i="1"/>
  <c r="EE11" i="1" l="1"/>
  <c r="EE3" i="1"/>
  <c r="EG4" i="1"/>
  <c r="EF5" i="1"/>
  <c r="EF6" i="1"/>
  <c r="EF11" i="1" l="1"/>
  <c r="EF3" i="1"/>
  <c r="EH4" i="1"/>
  <c r="EG6" i="1"/>
  <c r="EG5" i="1"/>
  <c r="EG11" i="1" l="1"/>
  <c r="EG3" i="1"/>
  <c r="EI4" i="1"/>
  <c r="EH5" i="1"/>
  <c r="EH6" i="1"/>
  <c r="EH11" i="1" l="1"/>
  <c r="EH3" i="1"/>
  <c r="EJ4" i="1"/>
  <c r="EI6" i="1"/>
  <c r="EI5" i="1"/>
  <c r="EI11" i="1" l="1"/>
  <c r="EI3" i="1"/>
  <c r="EK4" i="1"/>
  <c r="EJ5" i="1"/>
  <c r="EJ6" i="1"/>
  <c r="EJ11" i="1" l="1"/>
  <c r="EJ3" i="1"/>
  <c r="EL4" i="1"/>
  <c r="EK5" i="1"/>
  <c r="EK6" i="1"/>
  <c r="EK11" i="1" l="1"/>
  <c r="EK3" i="1"/>
  <c r="EM4" i="1"/>
  <c r="EL6" i="1"/>
  <c r="EL5" i="1"/>
  <c r="EL11" i="1" l="1"/>
  <c r="EL3" i="1"/>
  <c r="EN4" i="1"/>
  <c r="EM6" i="1"/>
  <c r="EM5" i="1"/>
  <c r="EM11" i="1" l="1"/>
  <c r="EM3" i="1"/>
  <c r="EO4" i="1"/>
  <c r="EN5" i="1"/>
  <c r="EN6" i="1"/>
  <c r="EN11" i="1" l="1"/>
  <c r="EN3" i="1"/>
  <c r="EP4" i="1"/>
  <c r="EO5" i="1"/>
  <c r="EO6" i="1"/>
  <c r="EO11" i="1" l="1"/>
  <c r="EO3" i="1"/>
  <c r="EQ4" i="1"/>
  <c r="EP6" i="1"/>
  <c r="EP5" i="1"/>
  <c r="EP11" i="1" l="1"/>
  <c r="EP3" i="1"/>
  <c r="ER4" i="1"/>
  <c r="EQ6" i="1"/>
  <c r="EQ5" i="1"/>
  <c r="EQ11" i="1" l="1"/>
  <c r="EQ3" i="1"/>
  <c r="ES4" i="1"/>
  <c r="ER5" i="1"/>
  <c r="ER6" i="1"/>
  <c r="ER11" i="1" l="1"/>
  <c r="ER3" i="1"/>
  <c r="ET4" i="1"/>
  <c r="ES5" i="1"/>
  <c r="ES6" i="1"/>
  <c r="ES11" i="1" l="1"/>
  <c r="ES3" i="1"/>
  <c r="EU4" i="1"/>
  <c r="ET6" i="1"/>
  <c r="ET5" i="1"/>
  <c r="ET11" i="1" l="1"/>
  <c r="ET3" i="1"/>
  <c r="EV4" i="1"/>
  <c r="EU6" i="1"/>
  <c r="EU5" i="1"/>
  <c r="EU11" i="1" l="1"/>
  <c r="EU3" i="1"/>
  <c r="EW4" i="1"/>
  <c r="EV5" i="1"/>
  <c r="EV6" i="1"/>
  <c r="EV11" i="1" l="1"/>
  <c r="EV3" i="1"/>
  <c r="EX4" i="1"/>
  <c r="EW6" i="1"/>
  <c r="EW5" i="1"/>
  <c r="EW11" i="1" l="1"/>
  <c r="EW3" i="1"/>
  <c r="EY4" i="1"/>
  <c r="EX6" i="1"/>
  <c r="EX5" i="1"/>
  <c r="EX11" i="1" l="1"/>
  <c r="EX3" i="1"/>
  <c r="EZ4" i="1"/>
  <c r="EY6" i="1"/>
  <c r="EY5" i="1"/>
  <c r="EY11" i="1" l="1"/>
  <c r="EY3" i="1"/>
  <c r="FA4" i="1"/>
  <c r="EZ5" i="1"/>
  <c r="EZ6" i="1"/>
  <c r="EZ11" i="1" l="1"/>
  <c r="EZ3" i="1"/>
  <c r="FB4" i="1"/>
  <c r="FA5" i="1"/>
  <c r="FA6" i="1"/>
  <c r="FA11" i="1" l="1"/>
  <c r="FA3" i="1"/>
  <c r="FC4" i="1"/>
  <c r="FB5" i="1"/>
  <c r="FB6" i="1"/>
  <c r="FB11" i="1" l="1"/>
  <c r="FB3" i="1"/>
  <c r="FD4" i="1"/>
  <c r="FC6" i="1"/>
  <c r="FC5" i="1"/>
  <c r="FC11" i="1" l="1"/>
  <c r="FC3" i="1"/>
  <c r="FE4" i="1"/>
  <c r="FD5" i="1"/>
  <c r="FD6" i="1"/>
  <c r="FD11" i="1" l="1"/>
  <c r="FD3" i="1"/>
  <c r="FF4" i="1"/>
  <c r="FE5" i="1"/>
  <c r="FE6" i="1"/>
  <c r="FE11" i="1" l="1"/>
  <c r="FE3" i="1"/>
  <c r="FG4" i="1"/>
  <c r="FF5" i="1"/>
  <c r="FF6" i="1"/>
  <c r="FF11" i="1" l="1"/>
  <c r="FF3" i="1"/>
  <c r="FH4" i="1"/>
  <c r="FG6" i="1"/>
  <c r="FG5" i="1"/>
  <c r="FG11" i="1" l="1"/>
  <c r="FG3" i="1"/>
  <c r="FI4" i="1"/>
  <c r="FH5" i="1"/>
  <c r="FH6" i="1"/>
  <c r="FH11" i="1" l="1"/>
  <c r="FH3" i="1"/>
  <c r="FI6" i="1"/>
  <c r="FJ4" i="1"/>
  <c r="FI5" i="1"/>
  <c r="FI11" i="1" l="1"/>
  <c r="FI3" i="1"/>
  <c r="FK4" i="1"/>
  <c r="FJ6" i="1"/>
  <c r="FJ5" i="1"/>
  <c r="FJ11" i="1" l="1"/>
  <c r="FJ3" i="1"/>
  <c r="FK6" i="1"/>
  <c r="FL4" i="1"/>
  <c r="FK5" i="1"/>
  <c r="FK11" i="1" l="1"/>
  <c r="FK3" i="1"/>
  <c r="FM4" i="1"/>
  <c r="FL6" i="1"/>
  <c r="FL5" i="1"/>
  <c r="FL11" i="1" l="1"/>
  <c r="FL3" i="1"/>
  <c r="FM6" i="1"/>
  <c r="FN4" i="1"/>
  <c r="FM5" i="1"/>
  <c r="FM11" i="1" l="1"/>
  <c r="FM3" i="1"/>
  <c r="FO4" i="1"/>
  <c r="FN5" i="1"/>
  <c r="FN6" i="1"/>
  <c r="FN11" i="1" l="1"/>
  <c r="FN3" i="1"/>
  <c r="FO6" i="1"/>
  <c r="FP4" i="1"/>
  <c r="FO5" i="1"/>
  <c r="FO11" i="1" l="1"/>
  <c r="FO3" i="1"/>
  <c r="FQ4" i="1"/>
  <c r="FP5" i="1"/>
  <c r="FP6" i="1"/>
  <c r="FP11" i="1" l="1"/>
  <c r="FP3" i="1"/>
  <c r="FQ6" i="1"/>
  <c r="FR4" i="1"/>
  <c r="FQ5" i="1"/>
  <c r="FQ11" i="1" l="1"/>
  <c r="FQ3" i="1"/>
  <c r="FS4" i="1"/>
  <c r="FR6" i="1"/>
  <c r="FR5" i="1"/>
  <c r="FR11" i="1" l="1"/>
  <c r="FR3" i="1"/>
  <c r="FS6" i="1"/>
  <c r="FT4" i="1"/>
  <c r="FS5" i="1"/>
  <c r="FS11" i="1" l="1"/>
  <c r="FS3" i="1"/>
  <c r="FU4" i="1"/>
  <c r="FT5" i="1"/>
  <c r="FT6" i="1"/>
  <c r="FT11" i="1" l="1"/>
  <c r="FT3" i="1"/>
  <c r="FU6" i="1"/>
  <c r="FV4" i="1"/>
  <c r="FU5" i="1"/>
  <c r="FU11" i="1" l="1"/>
  <c r="FU3" i="1"/>
  <c r="FW4" i="1"/>
  <c r="FV5" i="1"/>
  <c r="FV6" i="1"/>
  <c r="FV11" i="1" l="1"/>
  <c r="FV3" i="1"/>
  <c r="FW6" i="1"/>
  <c r="FX4" i="1"/>
  <c r="FW5" i="1"/>
  <c r="FW11" i="1" l="1"/>
  <c r="FW3" i="1"/>
  <c r="FY4" i="1"/>
  <c r="FX5" i="1"/>
  <c r="FX6" i="1"/>
  <c r="FX11" i="1" l="1"/>
  <c r="FX3" i="1"/>
  <c r="FY6" i="1"/>
  <c r="FZ4" i="1"/>
  <c r="FY5" i="1"/>
  <c r="FY11" i="1" l="1"/>
  <c r="FY3" i="1"/>
  <c r="GA4" i="1"/>
  <c r="FZ6" i="1"/>
  <c r="FZ5" i="1"/>
  <c r="FZ11" i="1" l="1"/>
  <c r="FZ3" i="1"/>
  <c r="GA6" i="1"/>
  <c r="GB4" i="1"/>
  <c r="GA5" i="1"/>
  <c r="GA11" i="1" l="1"/>
  <c r="GA3" i="1"/>
  <c r="GC4" i="1"/>
  <c r="GB6" i="1"/>
  <c r="GB5" i="1"/>
  <c r="GB11" i="1" l="1"/>
  <c r="GB3" i="1"/>
  <c r="GC6" i="1"/>
  <c r="GD4" i="1"/>
  <c r="GC5" i="1"/>
  <c r="GC11" i="1" l="1"/>
  <c r="GC3" i="1"/>
  <c r="GE4" i="1"/>
  <c r="GD5" i="1"/>
  <c r="GD6" i="1"/>
  <c r="GD11" i="1" l="1"/>
  <c r="GD3" i="1"/>
  <c r="GE6" i="1"/>
  <c r="GF4" i="1"/>
  <c r="GE5" i="1"/>
  <c r="GE11" i="1" l="1"/>
  <c r="GE3" i="1"/>
  <c r="GG4" i="1"/>
  <c r="GF5" i="1"/>
  <c r="GF6" i="1"/>
  <c r="GF11" i="1" l="1"/>
  <c r="GF3" i="1"/>
  <c r="GG6" i="1"/>
  <c r="GH4" i="1"/>
  <c r="GG5" i="1"/>
  <c r="GG11" i="1" l="1"/>
  <c r="GG3" i="1"/>
  <c r="GI4" i="1"/>
  <c r="GH6" i="1"/>
  <c r="GH5" i="1"/>
  <c r="GH11" i="1" l="1"/>
  <c r="GH3" i="1"/>
  <c r="GI6" i="1"/>
  <c r="GJ4" i="1"/>
  <c r="GI5" i="1"/>
  <c r="GI11" i="1" l="1"/>
  <c r="GI3" i="1"/>
  <c r="GK4" i="1"/>
  <c r="GJ6" i="1"/>
  <c r="GJ5" i="1"/>
  <c r="GJ11" i="1" l="1"/>
  <c r="GJ3" i="1"/>
  <c r="GK6" i="1"/>
  <c r="GL4" i="1"/>
  <c r="GK5" i="1"/>
  <c r="GK11" i="1" l="1"/>
  <c r="GK3" i="1"/>
  <c r="GM4" i="1"/>
  <c r="GL5" i="1"/>
  <c r="GL6" i="1"/>
  <c r="GL11" i="1" l="1"/>
  <c r="GL3" i="1"/>
  <c r="GM6" i="1"/>
  <c r="GN4" i="1"/>
  <c r="GM5" i="1"/>
  <c r="GM11" i="1" l="1"/>
  <c r="GM3" i="1"/>
  <c r="GO4" i="1"/>
  <c r="GN5" i="1"/>
  <c r="GN6" i="1"/>
  <c r="GN11" i="1" l="1"/>
  <c r="GN3" i="1"/>
  <c r="GO6" i="1"/>
  <c r="GP4" i="1"/>
  <c r="GO5" i="1"/>
  <c r="GO11" i="1" l="1"/>
  <c r="GO3" i="1"/>
  <c r="GQ4" i="1"/>
  <c r="GP6" i="1"/>
  <c r="GP5" i="1"/>
  <c r="GP11" i="1" l="1"/>
  <c r="GP3" i="1"/>
  <c r="GQ6" i="1"/>
  <c r="GR4" i="1"/>
  <c r="GQ5" i="1"/>
  <c r="GQ11" i="1" l="1"/>
  <c r="GQ3" i="1"/>
  <c r="GS4" i="1"/>
  <c r="GR5" i="1"/>
  <c r="GR6" i="1"/>
  <c r="GR11" i="1" l="1"/>
  <c r="GR3" i="1"/>
  <c r="GS6" i="1"/>
  <c r="GT4" i="1"/>
  <c r="GU4" i="1" s="1"/>
  <c r="GS5" i="1"/>
  <c r="GS11" i="1" l="1"/>
  <c r="GS3" i="1"/>
  <c r="GV4" i="1"/>
  <c r="GU6" i="1"/>
  <c r="GU5" i="1"/>
  <c r="GU3" i="1" s="1"/>
  <c r="GT6" i="1"/>
  <c r="GT5" i="1"/>
  <c r="GT11" i="1" l="1"/>
  <c r="GT3" i="1"/>
  <c r="GW4" i="1"/>
  <c r="GV5" i="1"/>
  <c r="GV3" i="1" s="1"/>
  <c r="GV6" i="1"/>
  <c r="GW5" i="1" l="1"/>
  <c r="GW3" i="1" s="1"/>
  <c r="GW6" i="1"/>
  <c r="GX4" i="1"/>
  <c r="GV11" i="1"/>
  <c r="GY4" i="1" l="1"/>
  <c r="GX6" i="1"/>
  <c r="GX5" i="1"/>
  <c r="GX3" i="1" s="1"/>
  <c r="GW11" i="1"/>
  <c r="GZ4" i="1" l="1"/>
  <c r="GY6" i="1"/>
  <c r="GY5" i="1"/>
  <c r="GY3" i="1" s="1"/>
  <c r="GX11" i="1"/>
  <c r="HA4" i="1" l="1"/>
  <c r="GZ6" i="1"/>
  <c r="GZ5" i="1"/>
  <c r="GZ3" i="1" s="1"/>
  <c r="GY11" i="1"/>
  <c r="HB4" i="1" l="1"/>
  <c r="HA6" i="1"/>
  <c r="HA5" i="1"/>
  <c r="HA3" i="1" s="1"/>
  <c r="GZ11" i="1"/>
  <c r="HB6" i="1" l="1"/>
  <c r="HC4" i="1"/>
  <c r="HB5" i="1"/>
  <c r="HB3" i="1" s="1"/>
  <c r="HA11" i="1"/>
  <c r="HC6" i="1" l="1"/>
  <c r="HD4" i="1"/>
  <c r="HC5" i="1"/>
  <c r="HC3" i="1" s="1"/>
  <c r="HB11" i="1"/>
  <c r="HE4" i="1" l="1"/>
  <c r="HD6" i="1"/>
  <c r="HD5" i="1"/>
  <c r="HD3" i="1" s="1"/>
  <c r="HC11" i="1"/>
  <c r="HF4" i="1" l="1"/>
  <c r="HE6" i="1"/>
  <c r="HE5" i="1"/>
  <c r="HE3" i="1" s="1"/>
  <c r="HD11" i="1"/>
  <c r="HF6" i="1" l="1"/>
  <c r="HG4" i="1"/>
  <c r="HF5" i="1"/>
  <c r="HF3" i="1" s="1"/>
  <c r="HE11" i="1"/>
  <c r="HH4" i="1" l="1"/>
  <c r="HG5" i="1"/>
  <c r="HG3" i="1" s="1"/>
  <c r="HG6" i="1"/>
  <c r="HF11" i="1"/>
  <c r="HI4" i="1" l="1"/>
  <c r="HH5" i="1"/>
  <c r="HH3" i="1" s="1"/>
  <c r="HH6" i="1"/>
  <c r="HG11" i="1"/>
  <c r="HI5" i="1" l="1"/>
  <c r="HI3" i="1" s="1"/>
  <c r="HJ4" i="1"/>
  <c r="HI6" i="1"/>
  <c r="HH11" i="1"/>
  <c r="HJ5" i="1" l="1"/>
  <c r="HJ3" i="1" s="1"/>
  <c r="HJ6" i="1"/>
  <c r="HK4" i="1"/>
  <c r="HI11" i="1"/>
  <c r="HK5" i="1" l="1"/>
  <c r="HK3" i="1" s="1"/>
  <c r="HK6" i="1"/>
  <c r="HL4" i="1"/>
  <c r="HJ11" i="1"/>
  <c r="HL5" i="1" l="1"/>
  <c r="HL3" i="1" s="1"/>
  <c r="HM4" i="1"/>
  <c r="HL6" i="1"/>
  <c r="HK11" i="1"/>
  <c r="HM6" i="1" l="1"/>
  <c r="HM5" i="1"/>
  <c r="HM3" i="1" s="1"/>
  <c r="HN4" i="1"/>
  <c r="HL11" i="1"/>
  <c r="HO4" i="1" l="1"/>
  <c r="HN5" i="1"/>
  <c r="HN3" i="1" s="1"/>
  <c r="HN6" i="1"/>
  <c r="HM11" i="1"/>
  <c r="HP4" i="1" l="1"/>
  <c r="HO5" i="1"/>
  <c r="HO3" i="1" s="1"/>
  <c r="HO6" i="1"/>
  <c r="HN11" i="1"/>
  <c r="HP5" i="1" l="1"/>
  <c r="HP3" i="1" s="1"/>
  <c r="HP6" i="1"/>
  <c r="HQ4" i="1"/>
  <c r="HO11" i="1"/>
  <c r="HQ5" i="1" l="1"/>
  <c r="HQ3" i="1" s="1"/>
  <c r="HQ6" i="1"/>
  <c r="HR4" i="1"/>
  <c r="HP11" i="1"/>
  <c r="HS4" i="1" l="1"/>
  <c r="HR5" i="1"/>
  <c r="HR3" i="1" s="1"/>
  <c r="HR6" i="1"/>
  <c r="HQ11" i="1"/>
  <c r="HT4" i="1" l="1"/>
  <c r="HS5" i="1"/>
  <c r="HS3" i="1" s="1"/>
  <c r="HS6" i="1"/>
  <c r="HR11" i="1"/>
  <c r="HU4" i="1" l="1"/>
  <c r="HT6" i="1"/>
  <c r="HT5" i="1"/>
  <c r="HT3" i="1" s="1"/>
  <c r="HS11" i="1"/>
  <c r="HV4" i="1" l="1"/>
  <c r="HU5" i="1"/>
  <c r="HU3" i="1" s="1"/>
  <c r="HU6" i="1"/>
  <c r="HT11" i="1"/>
  <c r="HW4" i="1" l="1"/>
  <c r="HV5" i="1"/>
  <c r="HV3" i="1" s="1"/>
  <c r="HV6" i="1"/>
  <c r="HU11" i="1"/>
  <c r="HX4" i="1" l="1"/>
  <c r="HW5" i="1"/>
  <c r="HW3" i="1" s="1"/>
  <c r="HW6" i="1"/>
  <c r="HV11" i="1"/>
  <c r="HY4" i="1" l="1"/>
  <c r="HX6" i="1"/>
  <c r="HX5" i="1"/>
  <c r="HX3" i="1" s="1"/>
  <c r="HW11" i="1"/>
  <c r="HZ4" i="1" l="1"/>
  <c r="HY6" i="1"/>
  <c r="HY5" i="1"/>
  <c r="HY3" i="1" s="1"/>
  <c r="HX11" i="1"/>
  <c r="HZ6" i="1" l="1"/>
  <c r="IA4" i="1"/>
  <c r="HZ5" i="1"/>
  <c r="HZ3" i="1" s="1"/>
  <c r="HY11" i="1"/>
  <c r="IA5" i="1" l="1"/>
  <c r="IA3" i="1" s="1"/>
  <c r="IA6" i="1"/>
  <c r="IB4" i="1"/>
  <c r="HZ11" i="1"/>
  <c r="IB6" i="1" l="1"/>
  <c r="IB5" i="1"/>
  <c r="IB3" i="1" s="1"/>
  <c r="IC4" i="1"/>
  <c r="IA11" i="1"/>
  <c r="ID4" i="1" l="1"/>
  <c r="IC6" i="1"/>
  <c r="IC5" i="1"/>
  <c r="IC3" i="1" s="1"/>
  <c r="IB11" i="1"/>
  <c r="ID5" i="1" l="1"/>
  <c r="ID3" i="1" s="1"/>
  <c r="ID6" i="1"/>
  <c r="IE4" i="1"/>
  <c r="IC11" i="1"/>
  <c r="IE6" i="1" l="1"/>
  <c r="IF4" i="1"/>
  <c r="IE5" i="1"/>
  <c r="IE3" i="1" s="1"/>
  <c r="ID11" i="1"/>
  <c r="IF5" i="1" l="1"/>
  <c r="IF3" i="1" s="1"/>
  <c r="IF6" i="1"/>
  <c r="IG4" i="1"/>
  <c r="IE11" i="1"/>
  <c r="IG6" i="1" l="1"/>
  <c r="IH4" i="1"/>
  <c r="IG5" i="1"/>
  <c r="IG3" i="1" s="1"/>
  <c r="IF11" i="1"/>
  <c r="IH6" i="1" l="1"/>
  <c r="II4" i="1"/>
  <c r="IH5" i="1"/>
  <c r="IH3" i="1" s="1"/>
  <c r="IG11" i="1"/>
  <c r="IJ4" i="1" l="1"/>
  <c r="II5" i="1"/>
  <c r="II3" i="1" s="1"/>
  <c r="II6" i="1"/>
  <c r="IH11" i="1"/>
  <c r="IK4" i="1" l="1"/>
  <c r="IJ6" i="1"/>
  <c r="IJ5" i="1"/>
  <c r="IJ3" i="1" s="1"/>
  <c r="II11" i="1"/>
  <c r="IL4" i="1" l="1"/>
  <c r="IK5" i="1"/>
  <c r="IK3" i="1" s="1"/>
  <c r="IK6" i="1"/>
  <c r="IJ11" i="1"/>
  <c r="IM4" i="1" l="1"/>
  <c r="IL5" i="1"/>
  <c r="IL3" i="1" s="1"/>
  <c r="IL6" i="1"/>
  <c r="IK11" i="1"/>
  <c r="IN4" i="1" l="1"/>
  <c r="IM5" i="1"/>
  <c r="IM3" i="1" s="1"/>
  <c r="IM6" i="1"/>
  <c r="IL11" i="1"/>
  <c r="IO4" i="1" l="1"/>
  <c r="IN6" i="1"/>
  <c r="IN5" i="1"/>
  <c r="IN3" i="1" s="1"/>
  <c r="IM11" i="1"/>
  <c r="IP4" i="1" l="1"/>
  <c r="IO6" i="1"/>
  <c r="IO5" i="1"/>
  <c r="IO3" i="1" s="1"/>
  <c r="IN11" i="1"/>
  <c r="IQ4" i="1" l="1"/>
  <c r="IP5" i="1"/>
  <c r="IP3" i="1" s="1"/>
  <c r="IP6" i="1"/>
  <c r="IO11" i="1"/>
  <c r="IR4" i="1" l="1"/>
  <c r="IQ5" i="1"/>
  <c r="IQ3" i="1" s="1"/>
  <c r="IQ6" i="1"/>
  <c r="IP11" i="1"/>
  <c r="IS4" i="1" l="1"/>
  <c r="IR6" i="1"/>
  <c r="IR5" i="1"/>
  <c r="IR3" i="1" s="1"/>
  <c r="IQ11" i="1"/>
  <c r="IT4" i="1" l="1"/>
  <c r="IS6" i="1"/>
  <c r="IS5" i="1"/>
  <c r="IS3" i="1" s="1"/>
  <c r="IR11" i="1"/>
  <c r="IU4" i="1" l="1"/>
  <c r="IT5" i="1"/>
  <c r="IT3" i="1" s="1"/>
  <c r="IT6" i="1"/>
  <c r="IS11" i="1"/>
  <c r="IV4" i="1" l="1"/>
  <c r="IU5" i="1"/>
  <c r="IU3" i="1" s="1"/>
  <c r="IU6" i="1"/>
  <c r="IT11" i="1"/>
  <c r="IV5" i="1" l="1"/>
  <c r="IV3" i="1" s="1"/>
  <c r="IV6" i="1"/>
  <c r="IW4" i="1"/>
  <c r="IU11" i="1"/>
  <c r="IX4" i="1" l="1"/>
  <c r="IW5" i="1"/>
  <c r="IW3" i="1" s="1"/>
  <c r="IW6" i="1"/>
  <c r="IV11" i="1"/>
  <c r="IY4" i="1" l="1"/>
  <c r="IX5" i="1"/>
  <c r="IX3" i="1" s="1"/>
  <c r="IX6" i="1"/>
  <c r="IW11" i="1"/>
  <c r="IZ4" i="1" l="1"/>
  <c r="IY5" i="1"/>
  <c r="IY3" i="1" s="1"/>
  <c r="IY6" i="1"/>
  <c r="IX11" i="1"/>
  <c r="JA4" i="1" l="1"/>
  <c r="IZ6" i="1"/>
  <c r="IZ5" i="1"/>
  <c r="IZ3" i="1" s="1"/>
  <c r="IY11" i="1"/>
  <c r="JB4" i="1" l="1"/>
  <c r="JA5" i="1"/>
  <c r="JA3" i="1" s="1"/>
  <c r="JA6" i="1"/>
  <c r="IZ11" i="1"/>
  <c r="JC4" i="1" l="1"/>
  <c r="JB5" i="1"/>
  <c r="JB3" i="1" s="1"/>
  <c r="JB6" i="1"/>
  <c r="JA11" i="1"/>
  <c r="JD4" i="1" l="1"/>
  <c r="JC5" i="1"/>
  <c r="JC3" i="1" s="1"/>
  <c r="JC6" i="1"/>
  <c r="JB11" i="1"/>
  <c r="JE4" i="1" l="1"/>
  <c r="JD6" i="1"/>
  <c r="JD5" i="1"/>
  <c r="JD3" i="1" s="1"/>
  <c r="JC11" i="1"/>
  <c r="JF4" i="1" l="1"/>
  <c r="JE6" i="1"/>
  <c r="JE5" i="1"/>
  <c r="JE3" i="1" s="1"/>
  <c r="JD11" i="1"/>
  <c r="JG4" i="1" l="1"/>
  <c r="JF5" i="1"/>
  <c r="JF3" i="1" s="1"/>
  <c r="JF6" i="1"/>
  <c r="JE11" i="1"/>
  <c r="JH4" i="1" l="1"/>
  <c r="JG5" i="1"/>
  <c r="JG3" i="1" s="1"/>
  <c r="JG6" i="1"/>
  <c r="JF11" i="1"/>
  <c r="JI4" i="1" l="1"/>
  <c r="JH5" i="1"/>
  <c r="JH3" i="1" s="1"/>
  <c r="JH6" i="1"/>
  <c r="JG11" i="1"/>
  <c r="JJ4" i="1" l="1"/>
  <c r="JI6" i="1"/>
  <c r="JI5" i="1"/>
  <c r="JI3" i="1" s="1"/>
  <c r="JH11" i="1"/>
  <c r="JK4" i="1" l="1"/>
  <c r="JJ5" i="1"/>
  <c r="JJ3" i="1" s="1"/>
  <c r="JJ6" i="1"/>
  <c r="JI11" i="1"/>
  <c r="JL4" i="1" l="1"/>
  <c r="JK6" i="1"/>
  <c r="JK5" i="1"/>
  <c r="JK3" i="1" s="1"/>
  <c r="JJ11" i="1"/>
  <c r="JM4" i="1" l="1"/>
  <c r="JL5" i="1"/>
  <c r="JL3" i="1" s="1"/>
  <c r="JL6" i="1"/>
  <c r="JK11" i="1"/>
  <c r="JN4" i="1" l="1"/>
  <c r="JM5" i="1"/>
  <c r="JM3" i="1" s="1"/>
  <c r="JM6" i="1"/>
  <c r="JL11" i="1"/>
  <c r="JO4" i="1" l="1"/>
  <c r="JN5" i="1"/>
  <c r="JN3" i="1" s="1"/>
  <c r="JN6" i="1"/>
  <c r="JM11" i="1"/>
  <c r="JP4" i="1" l="1"/>
  <c r="JO5" i="1"/>
  <c r="JO3" i="1" s="1"/>
  <c r="JO6" i="1"/>
  <c r="JN11" i="1"/>
  <c r="JQ4" i="1" l="1"/>
  <c r="JP6" i="1"/>
  <c r="JP5" i="1"/>
  <c r="JP3" i="1" s="1"/>
  <c r="JO11" i="1"/>
  <c r="JR4" i="1" l="1"/>
  <c r="JQ5" i="1"/>
  <c r="JQ3" i="1" s="1"/>
  <c r="JQ6" i="1"/>
  <c r="JP11" i="1"/>
  <c r="JS4" i="1" l="1"/>
  <c r="JR5" i="1"/>
  <c r="JR3" i="1" s="1"/>
  <c r="JR6" i="1"/>
  <c r="JQ11" i="1"/>
  <c r="JT4" i="1" l="1"/>
  <c r="JS5" i="1"/>
  <c r="JS3" i="1" s="1"/>
  <c r="JS6" i="1"/>
  <c r="JR11" i="1"/>
  <c r="JU4" i="1" l="1"/>
  <c r="JT6" i="1"/>
  <c r="JT5" i="1"/>
  <c r="JT3" i="1" s="1"/>
  <c r="JS11" i="1"/>
  <c r="JV4" i="1" l="1"/>
  <c r="JU6" i="1"/>
  <c r="JU5" i="1"/>
  <c r="JU3" i="1" s="1"/>
  <c r="JT11" i="1"/>
  <c r="JW4" i="1" l="1"/>
  <c r="JV5" i="1"/>
  <c r="JV3" i="1" s="1"/>
  <c r="JV6" i="1"/>
  <c r="JU11" i="1"/>
  <c r="JX4" i="1" l="1"/>
  <c r="JW5" i="1"/>
  <c r="JW3" i="1" s="1"/>
  <c r="JW6" i="1"/>
  <c r="JV11" i="1"/>
  <c r="JY4" i="1" l="1"/>
  <c r="JX6" i="1"/>
  <c r="JX5" i="1"/>
  <c r="JX3" i="1" s="1"/>
  <c r="JW11" i="1"/>
  <c r="JZ4" i="1" l="1"/>
  <c r="JY6" i="1"/>
  <c r="JY5" i="1"/>
  <c r="JY3" i="1" s="1"/>
  <c r="JX11" i="1"/>
  <c r="KA4" i="1" l="1"/>
  <c r="JZ5" i="1"/>
  <c r="JZ3" i="1" s="1"/>
  <c r="JZ6" i="1"/>
  <c r="JY11" i="1"/>
  <c r="KB4" i="1" l="1"/>
  <c r="KA6" i="1"/>
  <c r="KA5" i="1"/>
  <c r="KA3" i="1" s="1"/>
  <c r="JZ11" i="1"/>
  <c r="KC4" i="1" l="1"/>
  <c r="KB5" i="1"/>
  <c r="KB3" i="1" s="1"/>
  <c r="KB6" i="1"/>
  <c r="KA11" i="1"/>
  <c r="KD4" i="1" l="1"/>
  <c r="KC5" i="1"/>
  <c r="KC3" i="1" s="1"/>
  <c r="KC6" i="1"/>
  <c r="KB11" i="1"/>
  <c r="KE4" i="1" l="1"/>
  <c r="KD5" i="1"/>
  <c r="KD3" i="1" s="1"/>
  <c r="KD6" i="1"/>
  <c r="KC11" i="1"/>
  <c r="KF4" i="1" l="1"/>
  <c r="KE5" i="1"/>
  <c r="KE3" i="1" s="1"/>
  <c r="KE6" i="1"/>
  <c r="KD11" i="1"/>
  <c r="KG4" i="1" l="1"/>
  <c r="KF6" i="1"/>
  <c r="KF5" i="1"/>
  <c r="KF3" i="1" s="1"/>
  <c r="KE11" i="1"/>
  <c r="KH4" i="1" l="1"/>
  <c r="KG5" i="1"/>
  <c r="KG3" i="1" s="1"/>
  <c r="KG6" i="1"/>
  <c r="KF11" i="1"/>
  <c r="KI4" i="1" l="1"/>
  <c r="KH5" i="1"/>
  <c r="KH3" i="1" s="1"/>
  <c r="KH6" i="1"/>
  <c r="KG11" i="1"/>
  <c r="KJ4" i="1" l="1"/>
  <c r="KI5" i="1"/>
  <c r="KI3" i="1" s="1"/>
  <c r="KI6" i="1"/>
  <c r="KH11" i="1"/>
  <c r="KK4" i="1" l="1"/>
  <c r="KJ5" i="1"/>
  <c r="KJ3" i="1" s="1"/>
  <c r="KJ6" i="1"/>
  <c r="KI11" i="1"/>
  <c r="KL4" i="1" l="1"/>
  <c r="KK6" i="1"/>
  <c r="KK5" i="1"/>
  <c r="KK3" i="1" s="1"/>
  <c r="KJ11" i="1"/>
  <c r="KM4" i="1" l="1"/>
  <c r="KL5" i="1"/>
  <c r="KL3" i="1" s="1"/>
  <c r="KL6" i="1"/>
  <c r="KK11" i="1"/>
  <c r="KN4" i="1" l="1"/>
  <c r="KM5" i="1"/>
  <c r="KM3" i="1" s="1"/>
  <c r="KM6" i="1"/>
  <c r="KL11" i="1"/>
  <c r="KO4" i="1" l="1"/>
  <c r="KN6" i="1"/>
  <c r="KN5" i="1"/>
  <c r="KN3" i="1" s="1"/>
  <c r="KM11" i="1"/>
  <c r="KP4" i="1" l="1"/>
  <c r="KO6" i="1"/>
  <c r="KO5" i="1"/>
  <c r="KO3" i="1" s="1"/>
  <c r="KN11" i="1"/>
  <c r="KQ4" i="1" l="1"/>
  <c r="KP5" i="1"/>
  <c r="KP3" i="1" s="1"/>
  <c r="KP6" i="1"/>
  <c r="KO11" i="1"/>
  <c r="KR4" i="1" l="1"/>
  <c r="KQ5" i="1"/>
  <c r="KQ3" i="1" s="1"/>
  <c r="KQ6" i="1"/>
  <c r="KP11" i="1"/>
  <c r="KS4" i="1" l="1"/>
  <c r="KR5" i="1"/>
  <c r="KR3" i="1" s="1"/>
  <c r="KR6" i="1"/>
  <c r="KQ11" i="1"/>
  <c r="KT4" i="1" l="1"/>
  <c r="KS5" i="1"/>
  <c r="KS3" i="1" s="1"/>
  <c r="KS6" i="1"/>
  <c r="KR11" i="1"/>
  <c r="KU4" i="1" l="1"/>
  <c r="KT5" i="1"/>
  <c r="KT3" i="1" s="1"/>
  <c r="KT6" i="1"/>
  <c r="KS11" i="1"/>
  <c r="KV4" i="1" l="1"/>
  <c r="KU5" i="1"/>
  <c r="KU3" i="1" s="1"/>
  <c r="KU6" i="1"/>
  <c r="KT11" i="1"/>
  <c r="KW4" i="1" l="1"/>
  <c r="KV5" i="1"/>
  <c r="KV3" i="1" s="1"/>
  <c r="KV6" i="1"/>
  <c r="KU11" i="1"/>
  <c r="KX4" i="1" l="1"/>
  <c r="KW5" i="1"/>
  <c r="KW3" i="1" s="1"/>
  <c r="KW6" i="1"/>
  <c r="KV11" i="1"/>
  <c r="KY4" i="1" l="1"/>
  <c r="KX5" i="1"/>
  <c r="KX3" i="1" s="1"/>
  <c r="KX6" i="1"/>
  <c r="KW11" i="1"/>
  <c r="KZ4" i="1" l="1"/>
  <c r="KY5" i="1"/>
  <c r="KY3" i="1" s="1"/>
  <c r="KY6" i="1"/>
  <c r="KX11" i="1"/>
  <c r="LA4" i="1" l="1"/>
  <c r="KZ6" i="1"/>
  <c r="KZ5" i="1"/>
  <c r="KZ3" i="1" s="1"/>
  <c r="KY11" i="1"/>
  <c r="LB4" i="1" l="1"/>
  <c r="LA5" i="1"/>
  <c r="LA3" i="1" s="1"/>
  <c r="LA6" i="1"/>
  <c r="KZ11" i="1"/>
  <c r="LC4" i="1" l="1"/>
  <c r="LB5" i="1"/>
  <c r="LB3" i="1" s="1"/>
  <c r="LB6" i="1"/>
  <c r="LA11" i="1"/>
  <c r="LD4" i="1" l="1"/>
  <c r="LC5" i="1"/>
  <c r="LC3" i="1" s="1"/>
  <c r="LC6" i="1"/>
  <c r="LB11" i="1"/>
  <c r="LE4" i="1" l="1"/>
  <c r="LD6" i="1"/>
  <c r="LD5" i="1"/>
  <c r="LD3" i="1" s="1"/>
  <c r="LC11" i="1"/>
  <c r="LF4" i="1" l="1"/>
  <c r="LE5" i="1"/>
  <c r="LE3" i="1" s="1"/>
  <c r="LE6" i="1"/>
  <c r="LD11" i="1"/>
  <c r="LG4" i="1" l="1"/>
  <c r="LF5" i="1"/>
  <c r="LF3" i="1" s="1"/>
  <c r="LF6" i="1"/>
  <c r="LE11" i="1"/>
  <c r="LH4" i="1" l="1"/>
  <c r="LG5" i="1"/>
  <c r="LG3" i="1" s="1"/>
  <c r="LG6" i="1"/>
  <c r="LF11" i="1"/>
  <c r="LI4" i="1" l="1"/>
  <c r="LH6" i="1"/>
  <c r="LH5" i="1"/>
  <c r="LH3" i="1" s="1"/>
  <c r="LG11" i="1"/>
  <c r="LJ4" i="1" l="1"/>
  <c r="LI5" i="1"/>
  <c r="LI3" i="1" s="1"/>
  <c r="LI6" i="1"/>
  <c r="LH11" i="1"/>
  <c r="LK4" i="1" l="1"/>
  <c r="LJ5" i="1"/>
  <c r="LJ3" i="1" s="1"/>
  <c r="LJ6" i="1"/>
  <c r="LI11" i="1"/>
  <c r="LL4" i="1" l="1"/>
  <c r="LK5" i="1"/>
  <c r="LK3" i="1" s="1"/>
  <c r="LK6" i="1"/>
  <c r="LJ11" i="1"/>
  <c r="LM4" i="1" l="1"/>
  <c r="LL6" i="1"/>
  <c r="LL5" i="1"/>
  <c r="LL3" i="1" s="1"/>
  <c r="LK11" i="1"/>
  <c r="LN4" i="1" l="1"/>
  <c r="LM5" i="1"/>
  <c r="LM3" i="1" s="1"/>
  <c r="LM6" i="1"/>
  <c r="LL11" i="1"/>
  <c r="LO4" i="1" l="1"/>
  <c r="LN5" i="1"/>
  <c r="LN3" i="1" s="1"/>
  <c r="LN6" i="1"/>
  <c r="LM11" i="1"/>
  <c r="LO5" i="1" l="1"/>
  <c r="LO3" i="1" s="1"/>
  <c r="LO6" i="1"/>
  <c r="LN11" i="1"/>
  <c r="LP4" i="1" l="1"/>
  <c r="LO11" i="1"/>
  <c r="LP5" i="1" l="1"/>
  <c r="LP6" i="1"/>
  <c r="LQ4" i="1"/>
  <c r="LP11" i="1" l="1"/>
  <c r="LP3" i="1"/>
  <c r="LR4" i="1"/>
  <c r="LQ5" i="1"/>
  <c r="LQ6" i="1"/>
  <c r="LQ11" i="1" l="1"/>
  <c r="LQ3" i="1"/>
  <c r="LR5" i="1"/>
  <c r="LR6" i="1"/>
  <c r="LS4" i="1"/>
  <c r="LR11" i="1" l="1"/>
  <c r="LR3" i="1"/>
  <c r="LT4" i="1"/>
  <c r="LS5" i="1"/>
  <c r="LS6" i="1"/>
  <c r="LS11" i="1" l="1"/>
  <c r="LS3" i="1"/>
  <c r="LT5" i="1"/>
  <c r="LT6" i="1"/>
  <c r="LU4" i="1"/>
  <c r="LT11" i="1" l="1"/>
  <c r="LT3" i="1"/>
  <c r="LV4" i="1"/>
  <c r="LU5" i="1"/>
  <c r="LU6" i="1"/>
  <c r="LU11" i="1" l="1"/>
  <c r="LU3" i="1"/>
  <c r="LV5" i="1"/>
  <c r="LV6" i="1"/>
  <c r="LW4" i="1"/>
  <c r="LV11" i="1" l="1"/>
  <c r="LV3" i="1"/>
  <c r="LX4" i="1"/>
  <c r="LW5" i="1"/>
  <c r="LW6" i="1"/>
  <c r="LW11" i="1" l="1"/>
  <c r="LW3" i="1"/>
  <c r="LX5" i="1"/>
  <c r="LX6" i="1"/>
  <c r="LY4" i="1"/>
  <c r="LX11" i="1" l="1"/>
  <c r="LX3" i="1"/>
  <c r="LZ4" i="1"/>
  <c r="LY5" i="1"/>
  <c r="LY6" i="1"/>
  <c r="LY11" i="1" l="1"/>
  <c r="LY3" i="1"/>
  <c r="LZ5" i="1"/>
  <c r="LZ6" i="1"/>
  <c r="MA4" i="1"/>
  <c r="LZ11" i="1" l="1"/>
  <c r="LZ3" i="1"/>
  <c r="MB4" i="1"/>
  <c r="MA5" i="1"/>
  <c r="MA6" i="1"/>
  <c r="MA11" i="1" l="1"/>
  <c r="MA3" i="1"/>
  <c r="MB5" i="1"/>
  <c r="MB6" i="1"/>
  <c r="MC4" i="1"/>
  <c r="MB11" i="1" l="1"/>
  <c r="MB3" i="1"/>
  <c r="MD4" i="1"/>
  <c r="MC5" i="1"/>
  <c r="MC6" i="1"/>
  <c r="MC11" i="1" l="1"/>
  <c r="MC3" i="1"/>
  <c r="MD5" i="1"/>
  <c r="MD6" i="1"/>
  <c r="ME4" i="1"/>
  <c r="MD11" i="1" l="1"/>
  <c r="MD3" i="1"/>
  <c r="MF4" i="1"/>
  <c r="ME5" i="1"/>
  <c r="ME6" i="1"/>
  <c r="ME11" i="1" l="1"/>
  <c r="ME3" i="1"/>
  <c r="MF5" i="1"/>
  <c r="MF6" i="1"/>
  <c r="MG4" i="1"/>
  <c r="MF11" i="1" l="1"/>
  <c r="MF3" i="1"/>
  <c r="MH4" i="1"/>
  <c r="MG5" i="1"/>
  <c r="MG6" i="1"/>
  <c r="MG11" i="1" l="1"/>
  <c r="MG3" i="1"/>
  <c r="MH5" i="1"/>
  <c r="MH6" i="1"/>
  <c r="MI4" i="1"/>
  <c r="MH11" i="1" l="1"/>
  <c r="MH3" i="1"/>
  <c r="MJ4" i="1"/>
  <c r="MI5" i="1"/>
  <c r="MI6" i="1"/>
  <c r="MI11" i="1" l="1"/>
  <c r="MI3" i="1"/>
  <c r="MJ5" i="1"/>
  <c r="MJ6" i="1"/>
  <c r="MK4" i="1"/>
  <c r="MJ11" i="1" l="1"/>
  <c r="MJ3" i="1"/>
  <c r="ML4" i="1"/>
  <c r="MK5" i="1"/>
  <c r="MK6" i="1"/>
  <c r="MK11" i="1" l="1"/>
  <c r="MK3" i="1"/>
  <c r="ML5" i="1"/>
  <c r="ML6" i="1"/>
  <c r="MM4" i="1"/>
  <c r="ML11" i="1" l="1"/>
  <c r="ML3" i="1"/>
  <c r="MN4" i="1"/>
  <c r="MM5" i="1"/>
  <c r="MM6" i="1"/>
  <c r="MM11" i="1" l="1"/>
  <c r="MM3" i="1"/>
  <c r="MN5" i="1"/>
  <c r="MN6" i="1"/>
  <c r="MO4" i="1"/>
  <c r="MN11" i="1" l="1"/>
  <c r="MN3" i="1"/>
  <c r="MP4" i="1"/>
  <c r="MO5" i="1"/>
  <c r="MO6" i="1"/>
  <c r="MO11" i="1" l="1"/>
  <c r="MO3" i="1"/>
  <c r="MQ4" i="1"/>
  <c r="MP5" i="1"/>
  <c r="MP6" i="1"/>
  <c r="MP11" i="1" l="1"/>
  <c r="MP3" i="1"/>
  <c r="MR4" i="1"/>
  <c r="MQ5" i="1"/>
  <c r="MQ6" i="1"/>
  <c r="MQ11" i="1" l="1"/>
  <c r="MQ3" i="1"/>
  <c r="MS4" i="1"/>
  <c r="MR5" i="1"/>
  <c r="MR6" i="1"/>
  <c r="MR11" i="1" l="1"/>
  <c r="MR3" i="1"/>
  <c r="MT4" i="1"/>
  <c r="MS5" i="1"/>
  <c r="MS6" i="1"/>
  <c r="MS11" i="1" l="1"/>
  <c r="MS3" i="1"/>
  <c r="MU4" i="1"/>
  <c r="MT5" i="1"/>
  <c r="MT6" i="1"/>
  <c r="MT11" i="1" l="1"/>
  <c r="MT3" i="1"/>
  <c r="MV4" i="1"/>
  <c r="MU5" i="1"/>
  <c r="MU6" i="1"/>
  <c r="MU11" i="1" l="1"/>
  <c r="MU3" i="1"/>
  <c r="MW4" i="1"/>
  <c r="MV5" i="1"/>
  <c r="MV6" i="1"/>
  <c r="MV11" i="1" l="1"/>
  <c r="MV3" i="1"/>
  <c r="MX4" i="1"/>
  <c r="MW5" i="1"/>
  <c r="MW6" i="1"/>
  <c r="MW11" i="1" l="1"/>
  <c r="MW3" i="1"/>
  <c r="MY4" i="1"/>
  <c r="MX5" i="1"/>
  <c r="MX6" i="1"/>
  <c r="MX11" i="1" l="1"/>
  <c r="MX3" i="1"/>
  <c r="MZ4" i="1"/>
  <c r="MY5" i="1"/>
  <c r="MY6" i="1"/>
  <c r="MY11" i="1" l="1"/>
  <c r="MY3" i="1"/>
  <c r="NA4" i="1"/>
  <c r="MZ5" i="1"/>
  <c r="MZ6" i="1"/>
  <c r="MZ11" i="1" l="1"/>
  <c r="MZ3" i="1"/>
  <c r="NB4" i="1"/>
  <c r="NA5" i="1"/>
  <c r="NA6" i="1"/>
  <c r="NA11" i="1" l="1"/>
  <c r="NA3" i="1"/>
  <c r="NC4" i="1"/>
  <c r="NB5" i="1"/>
  <c r="NB6" i="1"/>
  <c r="NB11" i="1" l="1"/>
  <c r="NB3" i="1"/>
  <c r="ND4" i="1"/>
  <c r="NC5" i="1"/>
  <c r="NC6" i="1"/>
  <c r="NC11" i="1" l="1"/>
  <c r="NC3" i="1"/>
  <c r="NE4" i="1"/>
  <c r="ND5" i="1"/>
  <c r="ND6" i="1"/>
  <c r="ND11" i="1" l="1"/>
  <c r="ND3" i="1"/>
  <c r="NF4" i="1"/>
  <c r="NE5" i="1"/>
  <c r="NE6" i="1"/>
  <c r="NE11" i="1" l="1"/>
  <c r="NE3" i="1"/>
  <c r="NF5" i="1"/>
  <c r="NG4" i="1"/>
  <c r="NF6" i="1"/>
  <c r="NF11" i="1" l="1"/>
  <c r="NF3" i="1"/>
  <c r="NG5" i="1"/>
  <c r="NG6" i="1"/>
  <c r="NH4" i="1"/>
  <c r="NG11" i="1" l="1"/>
  <c r="NG3" i="1"/>
  <c r="NH6" i="1"/>
  <c r="NH5" i="1"/>
  <c r="NH3" i="1" s="1"/>
</calcChain>
</file>

<file path=xl/sharedStrings.xml><?xml version="1.0" encoding="utf-8"?>
<sst xmlns="http://schemas.openxmlformats.org/spreadsheetml/2006/main" count="1590" uniqueCount="480">
  <si>
    <t>U</t>
  </si>
  <si>
    <t>Urlaub</t>
  </si>
  <si>
    <t>Stunden Mehrarbeit</t>
  </si>
  <si>
    <t>Stunden Gleitzeit</t>
  </si>
  <si>
    <t>gA</t>
  </si>
  <si>
    <t>genehmigte Abwesenheit</t>
  </si>
  <si>
    <t>MA</t>
  </si>
  <si>
    <t>GZ</t>
  </si>
  <si>
    <t>Feiertage</t>
  </si>
  <si>
    <t>Neujahr</t>
  </si>
  <si>
    <t>Karfreitag</t>
  </si>
  <si>
    <t>Ostermontag</t>
  </si>
  <si>
    <t>Ostersonntag</t>
  </si>
  <si>
    <t>Tag der Arbeit</t>
  </si>
  <si>
    <t>Himmelfahrt</t>
  </si>
  <si>
    <t>Pfingstsonntag</t>
  </si>
  <si>
    <t>Pfingstmontag</t>
  </si>
  <si>
    <t>Tag der Deutschen Einheit</t>
  </si>
  <si>
    <t>Reformationstag</t>
  </si>
  <si>
    <t>Heiligabend</t>
  </si>
  <si>
    <t>1. Weihnachtsfeiertag</t>
  </si>
  <si>
    <t>2. Weihnachtsfeiertag</t>
  </si>
  <si>
    <t>Silvester</t>
  </si>
  <si>
    <t>Jahr</t>
  </si>
  <si>
    <t>SU</t>
  </si>
  <si>
    <t>Sonderurlaub</t>
  </si>
  <si>
    <t>Versetzt</t>
  </si>
  <si>
    <t>Kommandiert</t>
  </si>
  <si>
    <t>KO</t>
  </si>
  <si>
    <t>VE</t>
  </si>
  <si>
    <t>DR</t>
  </si>
  <si>
    <t>Dienstreise</t>
  </si>
  <si>
    <t>A</t>
  </si>
  <si>
    <t>Anwesend</t>
  </si>
  <si>
    <t>Abwesend</t>
  </si>
  <si>
    <t>DG</t>
  </si>
  <si>
    <t>Name</t>
  </si>
  <si>
    <t>Vorname</t>
  </si>
  <si>
    <t>HA</t>
  </si>
  <si>
    <t>Messe</t>
  </si>
  <si>
    <t>Abw</t>
  </si>
  <si>
    <t>GGZ</t>
  </si>
  <si>
    <t>GMA</t>
  </si>
  <si>
    <t>GFD</t>
  </si>
  <si>
    <t>Geplante Freistellung vom Dienst</t>
  </si>
  <si>
    <t>FvD</t>
  </si>
  <si>
    <t>Freistellung vom Dienst</t>
  </si>
  <si>
    <t>Geplanter Gleitzeitabbau</t>
  </si>
  <si>
    <t>Geplante Mehrarbeitabbau</t>
  </si>
  <si>
    <t>GU</t>
  </si>
  <si>
    <t>Geplanter Urlaub</t>
  </si>
  <si>
    <t>Spalte3</t>
  </si>
  <si>
    <t>Spalte4</t>
  </si>
  <si>
    <t>Spalte5</t>
  </si>
  <si>
    <t>Spalte6</t>
  </si>
  <si>
    <t>Spalte7</t>
  </si>
  <si>
    <t>Spalte8</t>
  </si>
  <si>
    <t>Spalte9</t>
  </si>
  <si>
    <t>Spalte10</t>
  </si>
  <si>
    <t>Spalte11</t>
  </si>
  <si>
    <t>Spalte12</t>
  </si>
  <si>
    <t>Spalte13</t>
  </si>
  <si>
    <t>Spalte14</t>
  </si>
  <si>
    <t>Spalte15</t>
  </si>
  <si>
    <t>Spalte16</t>
  </si>
  <si>
    <t>Spalte17</t>
  </si>
  <si>
    <t>Spalte18</t>
  </si>
  <si>
    <t>Spalte19</t>
  </si>
  <si>
    <t>Spalte20</t>
  </si>
  <si>
    <t>Spalte21</t>
  </si>
  <si>
    <t>Spalte22</t>
  </si>
  <si>
    <t>Spalte23</t>
  </si>
  <si>
    <t>Spalte24</t>
  </si>
  <si>
    <t>Spalte25</t>
  </si>
  <si>
    <t>Spalte26</t>
  </si>
  <si>
    <t>Spalte27</t>
  </si>
  <si>
    <t>Spalte28</t>
  </si>
  <si>
    <t>Spalte29</t>
  </si>
  <si>
    <t>Spalte30</t>
  </si>
  <si>
    <t>Spalte31</t>
  </si>
  <si>
    <t>Spalte32</t>
  </si>
  <si>
    <t>Spalte33</t>
  </si>
  <si>
    <t>Spalte34</t>
  </si>
  <si>
    <t>Spalte35</t>
  </si>
  <si>
    <t>Spalte36</t>
  </si>
  <si>
    <t>Spalte37</t>
  </si>
  <si>
    <t>Spalte38</t>
  </si>
  <si>
    <t>Spalte39</t>
  </si>
  <si>
    <t>Spalte40</t>
  </si>
  <si>
    <t>Spalte41</t>
  </si>
  <si>
    <t>Spalte42</t>
  </si>
  <si>
    <t>Spalte43</t>
  </si>
  <si>
    <t>Spalte44</t>
  </si>
  <si>
    <t>Spalte45</t>
  </si>
  <si>
    <t>Spalte46</t>
  </si>
  <si>
    <t>Spalte47</t>
  </si>
  <si>
    <t>Spalte48</t>
  </si>
  <si>
    <t>Spalte49</t>
  </si>
  <si>
    <t>Spalte50</t>
  </si>
  <si>
    <t>Spalte51</t>
  </si>
  <si>
    <t>Spalte52</t>
  </si>
  <si>
    <t>Spalte53</t>
  </si>
  <si>
    <t>Spalte54</t>
  </si>
  <si>
    <t>Spalte55</t>
  </si>
  <si>
    <t>Spalte56</t>
  </si>
  <si>
    <t>Spalte57</t>
  </si>
  <si>
    <t>Spalte58</t>
  </si>
  <si>
    <t>Spalte59</t>
  </si>
  <si>
    <t>Spalte60</t>
  </si>
  <si>
    <t>Spalte61</t>
  </si>
  <si>
    <t>Spalte62</t>
  </si>
  <si>
    <t>Spalte63</t>
  </si>
  <si>
    <t>Spalte64</t>
  </si>
  <si>
    <t>Spalte65</t>
  </si>
  <si>
    <t>Spalte66</t>
  </si>
  <si>
    <t>Spalte67</t>
  </si>
  <si>
    <t>Spalte68</t>
  </si>
  <si>
    <t>Spalte69</t>
  </si>
  <si>
    <t>Spalte70</t>
  </si>
  <si>
    <t>Spalte71</t>
  </si>
  <si>
    <t>Spalte72</t>
  </si>
  <si>
    <t>Spalte73</t>
  </si>
  <si>
    <t>Spalte74</t>
  </si>
  <si>
    <t>Spalte75</t>
  </si>
  <si>
    <t>Spalte76</t>
  </si>
  <si>
    <t>Spalte77</t>
  </si>
  <si>
    <t>Spalte78</t>
  </si>
  <si>
    <t>Spalte79</t>
  </si>
  <si>
    <t>Spalte80</t>
  </si>
  <si>
    <t>Spalte81</t>
  </si>
  <si>
    <t>Spalte82</t>
  </si>
  <si>
    <t>Spalte83</t>
  </si>
  <si>
    <t>Spalte84</t>
  </si>
  <si>
    <t>Spalte85</t>
  </si>
  <si>
    <t>Spalte86</t>
  </si>
  <si>
    <t>Spalte87</t>
  </si>
  <si>
    <t>Spalte88</t>
  </si>
  <si>
    <t>Spalte89</t>
  </si>
  <si>
    <t>Spalte90</t>
  </si>
  <si>
    <t>Spalte91</t>
  </si>
  <si>
    <t>Spalte92</t>
  </si>
  <si>
    <t>Spalte93</t>
  </si>
  <si>
    <t>Spalte94</t>
  </si>
  <si>
    <t>Spalte95</t>
  </si>
  <si>
    <t>Spalte96</t>
  </si>
  <si>
    <t>Spalte97</t>
  </si>
  <si>
    <t>Spalte98</t>
  </si>
  <si>
    <t>Spalte99</t>
  </si>
  <si>
    <t>Spalte100</t>
  </si>
  <si>
    <t>Spalte101</t>
  </si>
  <si>
    <t>Spalte102</t>
  </si>
  <si>
    <t>Spalte103</t>
  </si>
  <si>
    <t>Spalte104</t>
  </si>
  <si>
    <t>Spalte105</t>
  </si>
  <si>
    <t>Spalte106</t>
  </si>
  <si>
    <t>Spalte107</t>
  </si>
  <si>
    <t>Spalte108</t>
  </si>
  <si>
    <t>Spalte109</t>
  </si>
  <si>
    <t>Spalte110</t>
  </si>
  <si>
    <t>Spalte111</t>
  </si>
  <si>
    <t>Spalte112</t>
  </si>
  <si>
    <t>Spalte113</t>
  </si>
  <si>
    <t>Spalte114</t>
  </si>
  <si>
    <t>Spalte115</t>
  </si>
  <si>
    <t>Spalte116</t>
  </si>
  <si>
    <t>Spalte117</t>
  </si>
  <si>
    <t>Spalte118</t>
  </si>
  <si>
    <t>Spalte119</t>
  </si>
  <si>
    <t>Spalte120</t>
  </si>
  <si>
    <t>Spalte121</t>
  </si>
  <si>
    <t>Spalte122</t>
  </si>
  <si>
    <t>Spalte123</t>
  </si>
  <si>
    <t>Spalte124</t>
  </si>
  <si>
    <t>Spalte125</t>
  </si>
  <si>
    <t>Spalte126</t>
  </si>
  <si>
    <t>Spalte127</t>
  </si>
  <si>
    <t>Spalte128</t>
  </si>
  <si>
    <t>Spalte129</t>
  </si>
  <si>
    <t>Spalte130</t>
  </si>
  <si>
    <t>Spalte131</t>
  </si>
  <si>
    <t>Spalte132</t>
  </si>
  <si>
    <t>Spalte133</t>
  </si>
  <si>
    <t>Spalte134</t>
  </si>
  <si>
    <t>Spalte135</t>
  </si>
  <si>
    <t>Spalte136</t>
  </si>
  <si>
    <t>Spalte137</t>
  </si>
  <si>
    <t>Spalte138</t>
  </si>
  <si>
    <t>Spalte139</t>
  </si>
  <si>
    <t>Spalte140</t>
  </si>
  <si>
    <t>Spalte141</t>
  </si>
  <si>
    <t>Spalte142</t>
  </si>
  <si>
    <t>Spalte143</t>
  </si>
  <si>
    <t>Spalte144</t>
  </si>
  <si>
    <t>Spalte145</t>
  </si>
  <si>
    <t>Spalte146</t>
  </si>
  <si>
    <t>Spalte147</t>
  </si>
  <si>
    <t>Spalte148</t>
  </si>
  <si>
    <t>Spalte149</t>
  </si>
  <si>
    <t>Spalte150</t>
  </si>
  <si>
    <t>Spalte151</t>
  </si>
  <si>
    <t>Spalte152</t>
  </si>
  <si>
    <t>Spalte153</t>
  </si>
  <si>
    <t>Spalte154</t>
  </si>
  <si>
    <t>Spalte155</t>
  </si>
  <si>
    <t>Spalte156</t>
  </si>
  <si>
    <t>Spalte157</t>
  </si>
  <si>
    <t>Spalte158</t>
  </si>
  <si>
    <t>Spalte159</t>
  </si>
  <si>
    <t>Spalte160</t>
  </si>
  <si>
    <t>Spalte161</t>
  </si>
  <si>
    <t>Spalte162</t>
  </si>
  <si>
    <t>Spalte163</t>
  </si>
  <si>
    <t>Spalte164</t>
  </si>
  <si>
    <t>Spalte165</t>
  </si>
  <si>
    <t>Spalte166</t>
  </si>
  <si>
    <t>Spalte167</t>
  </si>
  <si>
    <t>Spalte168</t>
  </si>
  <si>
    <t>Spalte169</t>
  </si>
  <si>
    <t>Spalte170</t>
  </si>
  <si>
    <t>Spalte171</t>
  </si>
  <si>
    <t>Spalte172</t>
  </si>
  <si>
    <t>Spalte173</t>
  </si>
  <si>
    <t>Spalte174</t>
  </si>
  <si>
    <t>Spalte175</t>
  </si>
  <si>
    <t>Spalte176</t>
  </si>
  <si>
    <t>Spalte177</t>
  </si>
  <si>
    <t>Spalte178</t>
  </si>
  <si>
    <t>Spalte179</t>
  </si>
  <si>
    <t>Spalte180</t>
  </si>
  <si>
    <t>Spalte181</t>
  </si>
  <si>
    <t>Spalte182</t>
  </si>
  <si>
    <t>Spalte183</t>
  </si>
  <si>
    <t>Spalte184</t>
  </si>
  <si>
    <t>Spalte185</t>
  </si>
  <si>
    <t>Spalte186</t>
  </si>
  <si>
    <t>Spalte187</t>
  </si>
  <si>
    <t>Spalte188</t>
  </si>
  <si>
    <t>Spalte189</t>
  </si>
  <si>
    <t>Spalte190</t>
  </si>
  <si>
    <t>Spalte191</t>
  </si>
  <si>
    <t>Spalte192</t>
  </si>
  <si>
    <t>Spalte193</t>
  </si>
  <si>
    <t>Spalte194</t>
  </si>
  <si>
    <t>Spalte195</t>
  </si>
  <si>
    <t>Spalte196</t>
  </si>
  <si>
    <t>Spalte197</t>
  </si>
  <si>
    <t>Spalte198</t>
  </si>
  <si>
    <t>Spalte199</t>
  </si>
  <si>
    <t>Spalte200</t>
  </si>
  <si>
    <t>Spalte201</t>
  </si>
  <si>
    <t>Spalte202</t>
  </si>
  <si>
    <t>Spalte203</t>
  </si>
  <si>
    <t>Spalte204</t>
  </si>
  <si>
    <t>Spalte205</t>
  </si>
  <si>
    <t>Spalte206</t>
  </si>
  <si>
    <t>Spalte207</t>
  </si>
  <si>
    <t>Spalte208</t>
  </si>
  <si>
    <t>Spalte209</t>
  </si>
  <si>
    <t>Spalte210</t>
  </si>
  <si>
    <t>Spalte211</t>
  </si>
  <si>
    <t>Spalte212</t>
  </si>
  <si>
    <t>Spalte213</t>
  </si>
  <si>
    <t>Spalte214</t>
  </si>
  <si>
    <t>Spalte215</t>
  </si>
  <si>
    <t>Spalte216</t>
  </si>
  <si>
    <t>Spalte217</t>
  </si>
  <si>
    <t>Spalte218</t>
  </si>
  <si>
    <t>Spalte219</t>
  </si>
  <si>
    <t>Spalte220</t>
  </si>
  <si>
    <t>Spalte221</t>
  </si>
  <si>
    <t>Spalte222</t>
  </si>
  <si>
    <t>Spalte223</t>
  </si>
  <si>
    <t>Spalte224</t>
  </si>
  <si>
    <t>Spalte225</t>
  </si>
  <si>
    <t>Spalte226</t>
  </si>
  <si>
    <t>Spalte227</t>
  </si>
  <si>
    <t>Spalte228</t>
  </si>
  <si>
    <t>Spalte229</t>
  </si>
  <si>
    <t>Spalte230</t>
  </si>
  <si>
    <t>Spalte231</t>
  </si>
  <si>
    <t>Spalte232</t>
  </si>
  <si>
    <t>Spalte233</t>
  </si>
  <si>
    <t>Spalte234</t>
  </si>
  <si>
    <t>Spalte235</t>
  </si>
  <si>
    <t>Spalte236</t>
  </si>
  <si>
    <t>Spalte237</t>
  </si>
  <si>
    <t>Spalte238</t>
  </si>
  <si>
    <t>Spalte239</t>
  </si>
  <si>
    <t>Spalte240</t>
  </si>
  <si>
    <t>Spalte241</t>
  </si>
  <si>
    <t>Spalte242</t>
  </si>
  <si>
    <t>Spalte243</t>
  </si>
  <si>
    <t>Spalte244</t>
  </si>
  <si>
    <t>Spalte245</t>
  </si>
  <si>
    <t>Spalte246</t>
  </si>
  <si>
    <t>Spalte247</t>
  </si>
  <si>
    <t>Spalte248</t>
  </si>
  <si>
    <t>Spalte249</t>
  </si>
  <si>
    <t>Spalte250</t>
  </si>
  <si>
    <t>Spalte251</t>
  </si>
  <si>
    <t>Spalte252</t>
  </si>
  <si>
    <t>Spalte253</t>
  </si>
  <si>
    <t>Spalte254</t>
  </si>
  <si>
    <t>Spalte255</t>
  </si>
  <si>
    <t>Spalte256</t>
  </si>
  <si>
    <t>Spalte257</t>
  </si>
  <si>
    <t>Spalte258</t>
  </si>
  <si>
    <t>Spalte259</t>
  </si>
  <si>
    <t>Spalte260</t>
  </si>
  <si>
    <t>Spalte261</t>
  </si>
  <si>
    <t>Spalte262</t>
  </si>
  <si>
    <t>Spalte263</t>
  </si>
  <si>
    <t>Spalte264</t>
  </si>
  <si>
    <t>Spalte265</t>
  </si>
  <si>
    <t>Spalte266</t>
  </si>
  <si>
    <t>Spalte267</t>
  </si>
  <si>
    <t>Spalte268</t>
  </si>
  <si>
    <t>Spalte269</t>
  </si>
  <si>
    <t>Spalte270</t>
  </si>
  <si>
    <t>Spalte271</t>
  </si>
  <si>
    <t>Spalte272</t>
  </si>
  <si>
    <t>Spalte273</t>
  </si>
  <si>
    <t>Spalte274</t>
  </si>
  <si>
    <t>Spalte275</t>
  </si>
  <si>
    <t>Spalte276</t>
  </si>
  <si>
    <t>Spalte277</t>
  </si>
  <si>
    <t>Spalte278</t>
  </si>
  <si>
    <t>Spalte279</t>
  </si>
  <si>
    <t>Spalte280</t>
  </si>
  <si>
    <t>Spalte281</t>
  </si>
  <si>
    <t>Spalte282</t>
  </si>
  <si>
    <t>Spalte283</t>
  </si>
  <si>
    <t>Spalte284</t>
  </si>
  <si>
    <t>Spalte285</t>
  </si>
  <si>
    <t>Spalte286</t>
  </si>
  <si>
    <t>Spalte287</t>
  </si>
  <si>
    <t>Spalte288</t>
  </si>
  <si>
    <t>Spalte289</t>
  </si>
  <si>
    <t>Spalte290</t>
  </si>
  <si>
    <t>Spalte291</t>
  </si>
  <si>
    <t>Spalte292</t>
  </si>
  <si>
    <t>Spalte293</t>
  </si>
  <si>
    <t>Spalte294</t>
  </si>
  <si>
    <t>Spalte295</t>
  </si>
  <si>
    <t>Spalte296</t>
  </si>
  <si>
    <t>Spalte297</t>
  </si>
  <si>
    <t>Spalte298</t>
  </si>
  <si>
    <t>Spalte299</t>
  </si>
  <si>
    <t>Spalte300</t>
  </si>
  <si>
    <t>Spalte301</t>
  </si>
  <si>
    <t>Spalte302</t>
  </si>
  <si>
    <t>Spalte303</t>
  </si>
  <si>
    <t>Spalte304</t>
  </si>
  <si>
    <t>Spalte305</t>
  </si>
  <si>
    <t>Spalte306</t>
  </si>
  <si>
    <t>Spalte307</t>
  </si>
  <si>
    <t>Spalte308</t>
  </si>
  <si>
    <t>Spalte309</t>
  </si>
  <si>
    <t>Spalte310</t>
  </si>
  <si>
    <t>Spalte311</t>
  </si>
  <si>
    <t>Spalte312</t>
  </si>
  <si>
    <t>Spalte313</t>
  </si>
  <si>
    <t>Spalte314</t>
  </si>
  <si>
    <t>Spalte315</t>
  </si>
  <si>
    <t>Spalte316</t>
  </si>
  <si>
    <t>Spalte317</t>
  </si>
  <si>
    <t>Spalte318</t>
  </si>
  <si>
    <t>Spalte319</t>
  </si>
  <si>
    <t>Spalte320</t>
  </si>
  <si>
    <t>Spalte321</t>
  </si>
  <si>
    <t>Spalte322</t>
  </si>
  <si>
    <t>Spalte323</t>
  </si>
  <si>
    <t>Spalte324</t>
  </si>
  <si>
    <t>Spalte325</t>
  </si>
  <si>
    <t>Spalte326</t>
  </si>
  <si>
    <t>Spalte327</t>
  </si>
  <si>
    <t>Spalte328</t>
  </si>
  <si>
    <t>Spalte329</t>
  </si>
  <si>
    <t>Spalte330</t>
  </si>
  <si>
    <t>Spalte331</t>
  </si>
  <si>
    <t>Spalte332</t>
  </si>
  <si>
    <t>Spalte333</t>
  </si>
  <si>
    <t>Spalte334</t>
  </si>
  <si>
    <t>Spalte335</t>
  </si>
  <si>
    <t>Spalte336</t>
  </si>
  <si>
    <t>Spalte337</t>
  </si>
  <si>
    <t>Spalte338</t>
  </si>
  <si>
    <t>Spalte339</t>
  </si>
  <si>
    <t>Spalte340</t>
  </si>
  <si>
    <t>Spalte341</t>
  </si>
  <si>
    <t>Spalte342</t>
  </si>
  <si>
    <t>Spalte343</t>
  </si>
  <si>
    <t>Spalte344</t>
  </si>
  <si>
    <t>Spalte345</t>
  </si>
  <si>
    <t>Spalte346</t>
  </si>
  <si>
    <t>Spalte347</t>
  </si>
  <si>
    <t>Spalte348</t>
  </si>
  <si>
    <t>Spalte349</t>
  </si>
  <si>
    <t>Spalte350</t>
  </si>
  <si>
    <t>Spalte351</t>
  </si>
  <si>
    <t>Spalte352</t>
  </si>
  <si>
    <t>Spalte353</t>
  </si>
  <si>
    <t>Spalte354</t>
  </si>
  <si>
    <t>Spalte355</t>
  </si>
  <si>
    <t>Spalte356</t>
  </si>
  <si>
    <t>Spalte357</t>
  </si>
  <si>
    <t>Spalte358</t>
  </si>
  <si>
    <t>Spalte359</t>
  </si>
  <si>
    <t>Spalte360</t>
  </si>
  <si>
    <t>Spalte361</t>
  </si>
  <si>
    <t>Spalte362</t>
  </si>
  <si>
    <t>Spalte363</t>
  </si>
  <si>
    <t>Spalte364</t>
  </si>
  <si>
    <t>Spalte365</t>
  </si>
  <si>
    <t>Spalte366</t>
  </si>
  <si>
    <t>Spalte367</t>
  </si>
  <si>
    <t>Spalte368</t>
  </si>
  <si>
    <t>ID</t>
  </si>
  <si>
    <t>Dienstgrad</t>
  </si>
  <si>
    <t>Hauptabschnitt</t>
  </si>
  <si>
    <t>Offz</t>
  </si>
  <si>
    <t>PUO</t>
  </si>
  <si>
    <t>Uffz</t>
  </si>
  <si>
    <t>Mann</t>
  </si>
  <si>
    <t>KKpt</t>
  </si>
  <si>
    <t>KptLt</t>
  </si>
  <si>
    <t>OLtzS</t>
  </si>
  <si>
    <t>LtzS</t>
  </si>
  <si>
    <t>OFähnrzS</t>
  </si>
  <si>
    <t>FähnrzS</t>
  </si>
  <si>
    <t>StBtsm</t>
  </si>
  <si>
    <t>HptBtsm</t>
  </si>
  <si>
    <t>Btsm</t>
  </si>
  <si>
    <t>OMt</t>
  </si>
  <si>
    <t>Mt</t>
  </si>
  <si>
    <t>StKorp</t>
  </si>
  <si>
    <t>Korp</t>
  </si>
  <si>
    <t>OStGefr</t>
  </si>
  <si>
    <t>StGefr</t>
  </si>
  <si>
    <t>HptGefr</t>
  </si>
  <si>
    <t>OGefr</t>
  </si>
  <si>
    <t>Gefr</t>
  </si>
  <si>
    <t>Matr</t>
  </si>
  <si>
    <t>LME</t>
  </si>
  <si>
    <t>LBU</t>
  </si>
  <si>
    <t>Lehrgangsbuchung</t>
  </si>
  <si>
    <t>Lehrgangsmeldung</t>
  </si>
  <si>
    <t>Jahr:</t>
  </si>
  <si>
    <t>U übrig</t>
  </si>
  <si>
    <t>Spalte1</t>
  </si>
  <si>
    <t>Spalte369</t>
  </si>
  <si>
    <t>Spalte370</t>
  </si>
  <si>
    <t>Spalte371</t>
  </si>
  <si>
    <t>Spalte372</t>
  </si>
  <si>
    <t>Spalte373</t>
  </si>
  <si>
    <t>Spalte374</t>
  </si>
  <si>
    <t>Versetzte Soldaten</t>
  </si>
  <si>
    <t>0</t>
  </si>
  <si>
    <t>OBtsm</t>
  </si>
  <si>
    <t/>
  </si>
  <si>
    <t>See</t>
  </si>
  <si>
    <t>Seefahrt</t>
  </si>
  <si>
    <t>GSU</t>
  </si>
  <si>
    <t>Geplanter Sonderurlaub</t>
  </si>
  <si>
    <t>LPL</t>
  </si>
  <si>
    <t>Lehrgangsplanung</t>
  </si>
  <si>
    <t>Ergebnis</t>
  </si>
  <si>
    <t>Gesamt:</t>
  </si>
  <si>
    <t>FH</t>
  </si>
  <si>
    <t>Familienheimfahrt</t>
  </si>
  <si>
    <t>DAD</t>
  </si>
  <si>
    <t>Dienst anderer Dienstort</t>
  </si>
  <si>
    <t>GFH</t>
  </si>
  <si>
    <t>Geplante Familienheimfahrt</t>
  </si>
  <si>
    <t>Datei schließt um</t>
  </si>
  <si>
    <t>automatisch!</t>
  </si>
  <si>
    <t>Nach Jahresänderung Datei neustarten</t>
  </si>
  <si>
    <t>Beispiel</t>
  </si>
  <si>
    <t>Test</t>
  </si>
  <si>
    <t>Test2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</si>
</sst>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quot;Px&quot;"/>
    <numFmt numFmtId="165" formatCode="[$-F400]h:mm:ss\ AM/PM"/>
  </numFmts>
  <fonts count="14" x14ac:knownFonts="1">
    <font>
      <sz val="12"/>
      <color theme="1"/>
      <name val="Arial"/>
      <family val="2"/>
    </font>
    <font>
      <sz val="12"/>
      <color theme="0"/>
      <name val="Arial"/>
      <family val="2"/>
    </font>
    <font>
      <b/>
      <sz val="12"/>
      <color theme="1"/>
      <name val="Arial"/>
      <family val="2"/>
    </font>
    <font>
      <sz val="8"/>
      <color theme="1"/>
      <name val="Arial"/>
      <family val="2"/>
    </font>
    <font>
      <sz val="8"/>
      <name val="Arial"/>
      <family val="2"/>
    </font>
    <font>
      <sz val="4"/>
      <color theme="0"/>
      <name val="Arial"/>
      <family val="2"/>
    </font>
    <font>
      <b/>
      <sz val="14"/>
      <color theme="1"/>
      <name val="Arial"/>
      <family val="2"/>
    </font>
    <font>
      <b/>
      <sz val="16"/>
      <color theme="1"/>
      <name val="Arial"/>
      <family val="2"/>
    </font>
    <font>
      <sz val="12"/>
      <color theme="1"/>
      <name val="Arial"/>
      <family val="2"/>
    </font>
    <font>
      <sz val="12"/>
      <color rgb="FFFFFF00"/>
      <name val="Arial"/>
      <family val="2"/>
    </font>
    <font>
      <sz val="12"/>
      <color theme="1"/>
      <name val="Arial"/>
      <family val="2"/>
    </font>
    <font>
      <b/>
      <sz val="12"/>
      <color theme="0"/>
      <name val="Arial"/>
      <family val="2"/>
    </font>
    <font>
      <b/>
      <sz val="12"/>
      <color rgb="FFFF0000"/>
      <name val="Arial"/>
      <family val="2"/>
    </font>
    <font>
      <sz val="12"/>
      <color theme="1"/>
      <name val="Arial"/>
    </font>
  </fonts>
  <fills count="18">
    <fill>
      <patternFill patternType="none"/>
    </fill>
    <fill>
      <patternFill patternType="gray125"/>
    </fill>
    <fill>
      <patternFill patternType="solid">
        <fgColor rgb="FF00B050"/>
        <bgColor indexed="64"/>
      </patternFill>
    </fill>
    <fill>
      <patternFill patternType="solid">
        <fgColor rgb="FF0070C0"/>
        <bgColor indexed="64"/>
      </patternFill>
    </fill>
    <fill>
      <patternFill patternType="solid">
        <fgColor rgb="FF002060"/>
        <bgColor indexed="64"/>
      </patternFill>
    </fill>
    <fill>
      <patternFill patternType="solid">
        <fgColor theme="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2" tint="-0.749992370372631"/>
        <bgColor indexed="64"/>
      </patternFill>
    </fill>
    <fill>
      <patternFill patternType="solid">
        <fgColor theme="8" tint="-0.499984740745262"/>
        <bgColor indexed="64"/>
      </patternFill>
    </fill>
    <fill>
      <patternFill patternType="solid">
        <fgColor theme="0"/>
        <bgColor indexed="64"/>
      </patternFill>
    </fill>
    <fill>
      <patternFill patternType="solid">
        <fgColor theme="9" tint="-0.499984740745262"/>
        <bgColor indexed="64"/>
      </patternFill>
    </fill>
  </fills>
  <borders count="2">
    <border>
      <left/>
      <right/>
      <top/>
      <bottom/>
      <diagonal/>
    </border>
    <border>
      <left style="thin">
        <color theme="0"/>
      </left>
      <right style="thin">
        <color theme="0"/>
      </right>
      <top/>
      <bottom style="thin">
        <color theme="0"/>
      </bottom>
      <diagonal/>
    </border>
  </borders>
  <cellStyleXfs count="1">
    <xf numFmtId="0" fontId="0" fillId="0" borderId="0"/>
  </cellStyleXfs>
  <cellXfs count="78">
    <xf numFmtId="0" fontId="0" fillId="0" borderId="0" xfId="0"/>
    <xf numFmtId="0" fontId="0" fillId="0" borderId="0" xfId="0" applyFont="1"/>
    <xf numFmtId="14" fontId="0" fillId="0" borderId="0" xfId="0" applyNumberFormat="1"/>
    <xf numFmtId="0" fontId="0" fillId="0" borderId="0" xfId="0"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14" fontId="0" fillId="0" borderId="0" xfId="0" applyNumberFormat="1" applyAlignment="1">
      <alignment horizontal="center"/>
    </xf>
    <xf numFmtId="0" fontId="1" fillId="2" borderId="0" xfId="0" applyFont="1" applyFill="1"/>
    <xf numFmtId="0" fontId="1" fillId="3" borderId="0" xfId="0" applyFont="1" applyFill="1"/>
    <xf numFmtId="0" fontId="1" fillId="4" borderId="0" xfId="0" applyFont="1" applyFill="1"/>
    <xf numFmtId="0" fontId="0" fillId="0" borderId="0" xfId="0" applyFont="1" applyAlignment="1">
      <alignment horizontal="center"/>
    </xf>
    <xf numFmtId="14" fontId="3" fillId="5" borderId="0" xfId="0" applyNumberFormat="1" applyFont="1" applyFill="1" applyAlignment="1">
      <alignment horizontal="center"/>
    </xf>
    <xf numFmtId="49" fontId="3" fillId="5" borderId="0" xfId="0" applyNumberFormat="1" applyFont="1" applyFill="1" applyAlignment="1">
      <alignment horizontal="center"/>
    </xf>
    <xf numFmtId="0" fontId="0" fillId="6" borderId="0" xfId="0" applyFill="1" applyAlignment="1">
      <alignment horizontal="center" vertical="center"/>
    </xf>
    <xf numFmtId="0" fontId="0" fillId="0" borderId="0" xfId="0" applyAlignment="1">
      <alignment vertical="center"/>
    </xf>
    <xf numFmtId="0" fontId="2" fillId="0" borderId="0" xfId="0" applyFont="1" applyAlignment="1">
      <alignment horizontal="right" vertical="center"/>
    </xf>
    <xf numFmtId="0" fontId="2" fillId="0" borderId="0" xfId="0" applyFont="1" applyAlignment="1">
      <alignment vertical="center"/>
    </xf>
    <xf numFmtId="14" fontId="1" fillId="0" borderId="0" xfId="0" applyNumberFormat="1" applyFont="1" applyAlignment="1">
      <alignment horizontal="center" vertical="center"/>
    </xf>
    <xf numFmtId="14" fontId="1" fillId="0" borderId="0" xfId="0" applyNumberFormat="1" applyFont="1" applyAlignment="1">
      <alignment horizontal="left" vertical="center"/>
    </xf>
    <xf numFmtId="0" fontId="1" fillId="0" borderId="0" xfId="0" applyFont="1" applyAlignment="1">
      <alignment horizontal="center"/>
    </xf>
    <xf numFmtId="14" fontId="5" fillId="0" borderId="0" xfId="0" applyNumberFormat="1" applyFont="1" applyAlignment="1">
      <alignment horizontal="center" vertical="center"/>
    </xf>
    <xf numFmtId="0" fontId="5" fillId="0" borderId="0" xfId="0" applyFont="1"/>
    <xf numFmtId="0" fontId="2" fillId="0" borderId="0" xfId="0" applyFont="1" applyAlignment="1">
      <alignment horizontal="center"/>
    </xf>
    <xf numFmtId="0" fontId="2" fillId="0" borderId="0" xfId="0" applyFont="1"/>
    <xf numFmtId="0" fontId="2" fillId="0" borderId="0" xfId="0" applyNumberFormat="1" applyFont="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ont="1" applyFill="1"/>
    <xf numFmtId="0" fontId="1" fillId="14" borderId="0" xfId="0" applyFont="1" applyFill="1"/>
    <xf numFmtId="0" fontId="0" fillId="0" borderId="0" xfId="0" applyAlignment="1">
      <alignment horizontal="left"/>
    </xf>
    <xf numFmtId="0" fontId="6" fillId="0" borderId="0" xfId="0" applyFont="1" applyAlignment="1">
      <alignment horizontal="right"/>
    </xf>
    <xf numFmtId="0" fontId="0" fillId="6" borderId="0" xfId="0" applyFill="1" applyAlignment="1" applyProtection="1">
      <alignment horizontal="center" vertical="center"/>
      <protection locked="0"/>
    </xf>
    <xf numFmtId="0" fontId="0" fillId="0" borderId="0" xfId="0" applyNumberFormat="1" applyAlignment="1">
      <alignment horizontal="center"/>
    </xf>
    <xf numFmtId="0" fontId="0" fillId="5" borderId="0" xfId="0" applyFill="1" applyAlignment="1">
      <alignment horizontal="center" vertical="center"/>
    </xf>
    <xf numFmtId="0" fontId="0" fillId="5" borderId="0" xfId="0" applyFill="1"/>
    <xf numFmtId="0" fontId="0" fillId="5" borderId="0" xfId="0" applyFill="1" applyAlignment="1">
      <alignment horizontal="center"/>
    </xf>
    <xf numFmtId="0" fontId="0" fillId="0" borderId="0" xfId="0" applyFill="1"/>
    <xf numFmtId="0" fontId="5" fillId="0" borderId="0" xfId="0" applyNumberFormat="1" applyFont="1"/>
    <xf numFmtId="0" fontId="0" fillId="0" borderId="0" xfId="0" applyNumberFormat="1"/>
    <xf numFmtId="0" fontId="0" fillId="5" borderId="0" xfId="0" applyNumberFormat="1" applyFill="1" applyAlignment="1">
      <alignment horizontal="center"/>
    </xf>
    <xf numFmtId="0" fontId="1" fillId="0" borderId="0" xfId="0" applyFont="1"/>
    <xf numFmtId="0" fontId="0" fillId="0" borderId="0" xfId="0" applyFill="1" applyAlignment="1">
      <alignment horizontal="center"/>
    </xf>
    <xf numFmtId="0" fontId="8" fillId="0" borderId="0" xfId="0" applyNumberFormat="1" applyFont="1" applyFill="1" applyAlignment="1">
      <alignment horizontal="center"/>
    </xf>
    <xf numFmtId="0" fontId="0" fillId="0" borderId="0" xfId="0" applyFill="1" applyAlignment="1">
      <alignment horizontal="center" vertical="center"/>
    </xf>
    <xf numFmtId="0" fontId="0" fillId="0" borderId="0" xfId="0" applyNumberFormat="1" applyFont="1" applyFill="1" applyAlignment="1">
      <alignment horizontal="center"/>
    </xf>
    <xf numFmtId="14" fontId="3" fillId="0" borderId="0" xfId="0" applyNumberFormat="1" applyFont="1" applyFill="1" applyAlignment="1" applyProtection="1">
      <alignment horizontal="center" vertical="center"/>
      <protection locked="0"/>
    </xf>
    <xf numFmtId="49" fontId="3" fillId="0" borderId="0" xfId="0" applyNumberFormat="1" applyFont="1" applyFill="1" applyAlignment="1" applyProtection="1">
      <alignment horizontal="center" vertical="center"/>
      <protection locked="0"/>
    </xf>
    <xf numFmtId="0" fontId="9" fillId="15" borderId="0" xfId="0" applyFont="1" applyFill="1"/>
    <xf numFmtId="0" fontId="0" fillId="0" borderId="0" xfId="0" applyNumberFormat="1" applyFont="1" applyAlignment="1">
      <alignment wrapText="1"/>
    </xf>
    <xf numFmtId="0" fontId="1" fillId="0" borderId="0" xfId="0" applyNumberFormat="1" applyFont="1"/>
    <xf numFmtId="0" fontId="10" fillId="0" borderId="0" xfId="0" applyNumberFormat="1" applyFont="1" applyFill="1" applyAlignment="1">
      <alignment horizontal="center"/>
    </xf>
    <xf numFmtId="0" fontId="0" fillId="0" borderId="0" xfId="0" applyAlignment="1" applyProtection="1">
      <alignment horizontal="center" vertical="center"/>
      <protection locked="0"/>
    </xf>
    <xf numFmtId="0" fontId="0" fillId="16" borderId="1" xfId="0" applyFill="1" applyBorder="1"/>
    <xf numFmtId="0" fontId="0" fillId="16" borderId="1" xfId="0" applyFill="1" applyBorder="1" applyAlignment="1">
      <alignment horizontal="center"/>
    </xf>
    <xf numFmtId="164" fontId="0" fillId="16" borderId="1" xfId="0" applyNumberFormat="1" applyFill="1" applyBorder="1" applyAlignment="1">
      <alignment horizontal="left"/>
    </xf>
    <xf numFmtId="0" fontId="1" fillId="17" borderId="0" xfId="0" applyFont="1" applyFill="1"/>
    <xf numFmtId="0" fontId="0" fillId="16" borderId="0" xfId="0" applyFill="1" applyBorder="1"/>
    <xf numFmtId="164" fontId="0" fillId="16" borderId="0" xfId="0" applyNumberFormat="1" applyFill="1" applyBorder="1" applyAlignment="1">
      <alignment horizontal="left"/>
    </xf>
    <xf numFmtId="0" fontId="0" fillId="16" borderId="0" xfId="0" applyFill="1" applyBorder="1" applyAlignment="1">
      <alignment horizontal="center"/>
    </xf>
    <xf numFmtId="0" fontId="1" fillId="0" borderId="0" xfId="0" applyFont="1" applyAlignment="1">
      <alignment vertical="center"/>
    </xf>
    <xf numFmtId="0" fontId="11" fillId="0" borderId="0" xfId="0" applyFont="1" applyAlignment="1">
      <alignment horizontal="right" vertical="center"/>
    </xf>
    <xf numFmtId="0" fontId="1" fillId="16" borderId="0" xfId="0" applyFont="1" applyFill="1" applyAlignment="1">
      <alignment vertical="center"/>
    </xf>
    <xf numFmtId="0" fontId="11" fillId="16" borderId="0" xfId="0" applyFont="1" applyFill="1" applyAlignment="1">
      <alignment horizontal="right" vertical="center"/>
    </xf>
    <xf numFmtId="0" fontId="1" fillId="16" borderId="0" xfId="0" applyFont="1" applyFill="1" applyAlignment="1" applyProtection="1">
      <alignment horizontal="center" vertical="center"/>
    </xf>
    <xf numFmtId="165" fontId="12" fillId="0" borderId="0" xfId="0" applyNumberFormat="1" applyFont="1" applyAlignment="1">
      <alignment horizontal="center" vertical="center"/>
    </xf>
    <xf numFmtId="0" fontId="0" fillId="0" borderId="0" xfId="0" applyFont="1" applyAlignment="1">
      <alignment horizontal="center" vertical="center"/>
    </xf>
    <xf numFmtId="14" fontId="0" fillId="0" borderId="0" xfId="0" applyNumberFormat="1" applyFont="1" applyAlignment="1">
      <alignment horizontal="center" vertical="center"/>
    </xf>
    <xf numFmtId="0" fontId="6" fillId="0" borderId="0" xfId="0" applyFont="1" applyAlignment="1" applyProtection="1">
      <alignment horizontal="left"/>
      <protection locked="0"/>
    </xf>
    <xf numFmtId="0" fontId="3" fillId="0" borderId="0" xfId="0" applyFont="1" applyAlignment="1">
      <alignment horizontal="centerContinuous"/>
    </xf>
    <xf numFmtId="0" fontId="7" fillId="0" borderId="0" xfId="0" applyFont="1" applyAlignment="1">
      <alignment horizontal="left"/>
    </xf>
    <xf numFmtId="0" fontId="0" fillId="0" borderId="0" xfId="0" applyFill="1" applyBorder="1"/>
    <xf numFmtId="164" fontId="0" fillId="0" borderId="0" xfId="0" applyNumberFormat="1" applyFill="1" applyBorder="1" applyAlignment="1">
      <alignment horizontal="left"/>
    </xf>
    <xf numFmtId="0" fontId="0" fillId="0" borderId="0" xfId="0" applyFill="1" applyBorder="1" applyAlignment="1">
      <alignment horizontal="center"/>
    </xf>
    <xf numFmtId="0" fontId="13" fillId="0" borderId="0" xfId="0" applyNumberFormat="1" applyFont="1" applyFill="1" applyBorder="1" applyAlignment="1">
      <alignment horizontal="center"/>
    </xf>
  </cellXfs>
  <cellStyles count="1">
    <cellStyle name="Standard" xfId="0" builtinId="0"/>
  </cellStyles>
  <dxfs count="230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border diagonalUp="0" diagonalDown="0" outline="0">
        <left style="thin">
          <color theme="0"/>
        </left>
        <right style="thin">
          <color theme="0"/>
        </right>
        <top/>
        <bottom style="thin">
          <color theme="0"/>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theme="0"/>
        </left>
        <right style="thin">
          <color theme="0"/>
        </right>
        <top/>
        <bottom style="thin">
          <color theme="0"/>
        </bottom>
      </border>
    </dxf>
    <dxf>
      <fill>
        <patternFill patternType="solid">
          <fgColor indexed="64"/>
          <bgColor theme="0"/>
        </patternFill>
      </fill>
      <border diagonalUp="0" diagonalDown="0" outline="0">
        <left style="thin">
          <color theme="0"/>
        </left>
        <right style="thin">
          <color theme="0"/>
        </right>
        <top/>
        <bottom style="thin">
          <color theme="0"/>
        </bottom>
      </border>
    </dxf>
    <dxf>
      <numFmt numFmtId="164" formatCode="00\ &quot;Px&quot;"/>
      <fill>
        <patternFill patternType="solid">
          <fgColor indexed="64"/>
          <bgColor theme="0"/>
        </patternFill>
      </fill>
      <alignment horizontal="left" vertical="bottom" textRotation="0" wrapText="0" indent="0" justifyLastLine="0" shrinkToFit="0" readingOrder="0"/>
      <border diagonalUp="0" diagonalDown="0" outline="0">
        <left style="thin">
          <color theme="0"/>
        </left>
        <right style="thin">
          <color theme="0"/>
        </right>
        <top/>
        <bottom style="thin">
          <color theme="0"/>
        </bottom>
      </border>
    </dxf>
    <dxf>
      <fill>
        <patternFill patternType="solid">
          <fgColor indexed="64"/>
          <bgColor theme="0"/>
        </patternFill>
      </fill>
      <border diagonalUp="0" diagonalDown="0" outline="0">
        <left style="thin">
          <color theme="0"/>
        </left>
        <right style="thin">
          <color theme="0"/>
        </right>
        <top/>
        <bottom style="thin">
          <color theme="0"/>
        </bottom>
      </border>
    </dxf>
    <dxf>
      <alignment horizontal="center" vertical="bottom" textRotation="0" wrapText="0" indent="0" justifyLastLine="0" shrinkToFit="0" readingOrder="0"/>
    </dxf>
    <dxf>
      <fill>
        <patternFill>
          <bgColor theme="9" tint="0.59996337778862885"/>
        </patternFill>
      </fill>
    </dxf>
    <dxf>
      <fill>
        <patternFill>
          <bgColor theme="9" tint="0.59996337778862885"/>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rgb="FFFFFF00"/>
      </font>
      <fill>
        <patternFill>
          <bgColor theme="8" tint="-0.49998474074526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ont>
        <color rgb="FFFFFF00"/>
      </font>
      <fill>
        <patternFill>
          <bgColor theme="8" tint="-0.49998474074526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rgb="FFFFFF00"/>
      </font>
      <fill>
        <patternFill>
          <bgColor theme="8" tint="-0.49998474074526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ont>
        <color rgb="FFFFFF00"/>
      </font>
      <fill>
        <patternFill>
          <bgColor theme="8" tint="-0.49998474074526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rgb="FFFFFF00"/>
      </font>
      <fill>
        <patternFill>
          <bgColor theme="8" tint="-0.49998474074526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ont>
        <color rgb="FFFFFF00"/>
      </font>
      <fill>
        <patternFill>
          <bgColor theme="8" tint="-0.49998474074526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1"/>
      </font>
      <fill>
        <patternFill>
          <bgColor theme="0" tint="-0.24994659260841701"/>
        </patternFill>
      </fill>
    </dxf>
    <dxf>
      <fill>
        <patternFill>
          <bgColor rgb="FFFFE593"/>
        </patternFill>
      </fill>
    </dxf>
    <dxf>
      <fill>
        <patternFill>
          <bgColor rgb="FFFFE593"/>
        </patternFill>
      </fill>
    </dxf>
    <dxf>
      <font>
        <color theme="0"/>
      </font>
      <fill>
        <patternFill>
          <bgColor rgb="FF00B050"/>
        </patternFill>
      </fill>
    </dxf>
    <dxf>
      <font>
        <color theme="0"/>
      </font>
      <fill>
        <patternFill>
          <bgColor rgb="FF0070C0"/>
        </patternFill>
      </fill>
    </dxf>
    <dxf>
      <font>
        <color theme="0"/>
      </font>
      <fill>
        <patternFill>
          <bgColor rgb="FF002060"/>
        </patternFill>
      </fill>
    </dxf>
    <dxf>
      <font>
        <color theme="1"/>
      </font>
      <fill>
        <patternFill>
          <bgColor theme="0" tint="-0.24994659260841701"/>
        </patternFill>
      </fill>
    </dxf>
    <dxf>
      <font>
        <color theme="0"/>
      </font>
      <fill>
        <patternFill>
          <bgColor theme="2" tint="-0.749961851863155"/>
        </patternFill>
      </fill>
    </dxf>
    <dxf>
      <font>
        <color theme="1"/>
      </font>
      <fill>
        <patternFill>
          <bgColor theme="5" tint="0.39994506668294322"/>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0" tint="-0.24994659260841701"/>
        </patternFill>
      </fill>
    </dxf>
    <dxf>
      <font>
        <color theme="1"/>
      </font>
      <fill>
        <patternFill>
          <bgColor theme="4" tint="0.39994506668294322"/>
        </patternFill>
      </fill>
    </dxf>
    <dxf>
      <font>
        <color theme="1"/>
      </font>
      <fill>
        <patternFill>
          <bgColor theme="7" tint="0.39994506668294322"/>
        </patternFill>
      </fill>
    </dxf>
    <dxf>
      <font>
        <color theme="1"/>
      </font>
      <fill>
        <patternFill>
          <bgColor theme="7" tint="-0.24994659260841701"/>
        </patternFill>
      </fill>
    </dxf>
    <dxf>
      <font>
        <color theme="1"/>
      </font>
      <fill>
        <patternFill>
          <bgColor theme="7" tint="0.79998168889431442"/>
        </patternFill>
      </fill>
    </dxf>
    <dxf>
      <font>
        <color theme="0"/>
      </font>
      <fill>
        <patternFill>
          <bgColor theme="2" tint="-0.749961851863155"/>
        </patternFill>
      </fill>
    </dxf>
    <dxf>
      <font>
        <color theme="1"/>
      </font>
      <fill>
        <patternFill>
          <bgColor theme="7" tint="0.79998168889431442"/>
        </patternFill>
      </fill>
    </dxf>
    <dxf>
      <font>
        <color theme="1"/>
      </font>
      <fill>
        <patternFill>
          <bgColor theme="0" tint="-0.24994659260841701"/>
        </patternFill>
      </fill>
    </dxf>
    <dxf>
      <font>
        <color theme="0"/>
      </font>
      <fill>
        <patternFill>
          <bgColor theme="9" tint="-0.499984740745262"/>
        </patternFill>
      </fill>
    </dxf>
    <dxf>
      <font>
        <color theme="1"/>
      </font>
      <fill>
        <patternFill>
          <bgColor theme="0" tint="-0.2499465926084170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rial"/>
        <scheme val="none"/>
      </font>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30" formatCode="@"/>
      <fill>
        <patternFill patternType="none">
          <fgColor indexed="64"/>
          <bgColor indexed="65"/>
        </patternFill>
      </fill>
      <alignment horizontal="center" vertical="center" textRotation="0" wrapText="0" indent="0" justifyLastLine="0" shrinkToFit="0" readingOrder="0"/>
      <protection locked="0" hidden="0"/>
    </dxf>
    <dxf>
      <font>
        <sz val="8"/>
      </font>
      <numFmt numFmtId="19" formatCode="dd/mm/yyyy"/>
      <fill>
        <patternFill patternType="none">
          <fgColor indexed="64"/>
          <bgColor indexed="65"/>
        </patternFill>
      </fill>
      <alignment horizontal="center" vertical="center" textRotation="0" wrapText="0" indent="0" justifyLastLine="0" shrinkToFit="0" readingOrder="0"/>
      <protection locked="0" hidden="0"/>
    </dxf>
    <dxf>
      <font>
        <sz val="8"/>
      </font>
      <numFmt numFmtId="19" formatCode="dd/mm/yyyy"/>
      <fill>
        <patternFill patternType="none">
          <fgColor indexed="64"/>
          <bgColor indexed="65"/>
        </patternFill>
      </fill>
      <alignment horizontal="center" vertical="center" textRotation="0" wrapText="0" indent="0" justifyLastLine="0" shrinkToFit="0" readingOrder="0"/>
      <protection locked="0" hidden="0"/>
    </dxf>
    <dxf>
      <font>
        <sz val="8"/>
      </font>
      <numFmt numFmtId="19" formatCode="dd/mm/yyyy"/>
      <fill>
        <patternFill patternType="none">
          <fgColor indexed="64"/>
          <bgColor indexed="65"/>
        </patternFill>
      </fill>
      <alignment horizontal="center" vertical="center" textRotation="0" wrapText="0" indent="0" justifyLastLine="0" shrinkToFit="0" readingOrder="0"/>
      <protection locked="0" hidden="0"/>
    </dxf>
    <dxf>
      <font>
        <sz val="8"/>
      </font>
      <numFmt numFmtId="19" formatCode="dd/mm/yyyy"/>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ont>
        <sz val="8"/>
      </font>
      <fill>
        <patternFill patternType="none">
          <fgColor indexed="64"/>
          <bgColor indexed="65"/>
        </patternFill>
      </fill>
      <alignment horizontal="center" vertical="center" textRotation="0" wrapText="0" indent="0" justifyLastLine="0" shrinkToFit="0" readingOrder="0"/>
      <protection locked="0" hidden="0"/>
    </dxf>
  </dxfs>
  <tableStyles count="0" defaultTableStyle="TableStyleMedium2" defaultPivotStyle="PivotStyleLight16"/>
  <colors>
    <mruColors>
      <color rgb="FFF1B499"/>
      <color rgb="FFFFE593"/>
      <color rgb="FF0033CC"/>
      <color rgb="FF66FF99"/>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svg"/><Relationship Id="rId4" Type="http://schemas.openxmlformats.org/officeDocument/2006/relationships/image" Target="../media/image6.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8.svg"/><Relationship Id="rId1" Type="http://schemas.openxmlformats.org/officeDocument/2006/relationships/image" Target="../media/image16.png"/><Relationship Id="rId4" Type="http://schemas.openxmlformats.org/officeDocument/2006/relationships/image" Target="../media/image1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12</xdr:col>
      <xdr:colOff>347383</xdr:colOff>
      <xdr:row>0</xdr:row>
      <xdr:rowOff>56030</xdr:rowOff>
    </xdr:from>
    <xdr:to>
      <xdr:col>13</xdr:col>
      <xdr:colOff>275665</xdr:colOff>
      <xdr:row>5</xdr:row>
      <xdr:rowOff>17930</xdr:rowOff>
    </xdr:to>
    <xdr:pic macro="[0]!Abbrechen">
      <xdr:nvPicPr>
        <xdr:cNvPr id="33" name="Grafik 32" descr="Start mit einfarbiger Füllung">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34030" y="56030"/>
          <a:ext cx="914400" cy="914400"/>
        </a:xfrm>
        <a:prstGeom prst="rect">
          <a:avLst/>
        </a:prstGeom>
      </xdr:spPr>
    </xdr:pic>
    <xdr:clientData/>
  </xdr:twoCellAnchor>
  <xdr:twoCellAnchor>
    <xdr:from>
      <xdr:col>3</xdr:col>
      <xdr:colOff>257736</xdr:colOff>
      <xdr:row>25</xdr:row>
      <xdr:rowOff>89647</xdr:rowOff>
    </xdr:from>
    <xdr:to>
      <xdr:col>6</xdr:col>
      <xdr:colOff>257736</xdr:colOff>
      <xdr:row>29</xdr:row>
      <xdr:rowOff>56029</xdr:rowOff>
    </xdr:to>
    <xdr:sp macro="[0]!Entwicklermodus" textlink="">
      <xdr:nvSpPr>
        <xdr:cNvPr id="2" name="Rechteck 1">
          <a:extLst>
            <a:ext uri="{FF2B5EF4-FFF2-40B4-BE49-F238E27FC236}">
              <a16:creationId xmlns:a16="http://schemas.microsoft.com/office/drawing/2014/main" id="{00000000-0008-0000-0000-000002000000}"/>
            </a:ext>
          </a:extLst>
        </xdr:cNvPr>
        <xdr:cNvSpPr/>
      </xdr:nvSpPr>
      <xdr:spPr>
        <a:xfrm>
          <a:off x="4695265" y="4852147"/>
          <a:ext cx="3832412" cy="72838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de-DE" sz="2400">
              <a:latin typeface="Arial" panose="020B0604020202020204" pitchFamily="34" charset="0"/>
              <a:cs typeface="Arial" panose="020B0604020202020204" pitchFamily="34" charset="0"/>
            </a:rPr>
            <a:t>Entwicklermodus</a:t>
          </a:r>
        </a:p>
      </xdr:txBody>
    </xdr:sp>
    <xdr:clientData/>
  </xdr:twoCellAnchor>
  <xdr:twoCellAnchor>
    <xdr:from>
      <xdr:col>3</xdr:col>
      <xdr:colOff>264460</xdr:colOff>
      <xdr:row>29</xdr:row>
      <xdr:rowOff>163606</xdr:rowOff>
    </xdr:from>
    <xdr:to>
      <xdr:col>6</xdr:col>
      <xdr:colOff>264460</xdr:colOff>
      <xdr:row>33</xdr:row>
      <xdr:rowOff>129988</xdr:rowOff>
    </xdr:to>
    <xdr:sp macro="[0]!Benutzermodus" textlink="">
      <xdr:nvSpPr>
        <xdr:cNvPr id="5" name="Rechteck 4">
          <a:extLst>
            <a:ext uri="{FF2B5EF4-FFF2-40B4-BE49-F238E27FC236}">
              <a16:creationId xmlns:a16="http://schemas.microsoft.com/office/drawing/2014/main" id="{00000000-0008-0000-0000-000005000000}"/>
            </a:ext>
          </a:extLst>
        </xdr:cNvPr>
        <xdr:cNvSpPr/>
      </xdr:nvSpPr>
      <xdr:spPr>
        <a:xfrm>
          <a:off x="4701989" y="5688106"/>
          <a:ext cx="3832412" cy="72838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de-DE" sz="2400">
              <a:latin typeface="Arial" panose="020B0604020202020204" pitchFamily="34" charset="0"/>
              <a:cs typeface="Arial" panose="020B0604020202020204" pitchFamily="34" charset="0"/>
            </a:rPr>
            <a:t>Benutzermodus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146243</xdr:colOff>
      <xdr:row>0</xdr:row>
      <xdr:rowOff>124630</xdr:rowOff>
    </xdr:from>
    <xdr:to>
      <xdr:col>3</xdr:col>
      <xdr:colOff>663316</xdr:colOff>
      <xdr:row>0</xdr:row>
      <xdr:rowOff>483357</xdr:rowOff>
    </xdr:to>
    <xdr:grpSp>
      <xdr:nvGrpSpPr>
        <xdr:cNvPr id="128" name="K_Heute" hidden="1">
          <a:extLst>
            <a:ext uri="{FF2B5EF4-FFF2-40B4-BE49-F238E27FC236}">
              <a16:creationId xmlns:a16="http://schemas.microsoft.com/office/drawing/2014/main" id="{00000000-0008-0000-0100-000080000000}"/>
            </a:ext>
          </a:extLst>
        </xdr:cNvPr>
        <xdr:cNvGrpSpPr/>
      </xdr:nvGrpSpPr>
      <xdr:grpSpPr>
        <a:xfrm>
          <a:off x="2107272" y="124630"/>
          <a:ext cx="517073" cy="358727"/>
          <a:chOff x="3211284" y="3801930"/>
          <a:chExt cx="517073" cy="358727"/>
        </a:xfrm>
      </xdr:grpSpPr>
      <xdr:sp macro="[0]!K_Heute" textlink="">
        <xdr:nvSpPr>
          <xdr:cNvPr id="129" name="Rechteck: abgerundete Ecken 128" hidden="1">
            <a:extLst>
              <a:ext uri="{FF2B5EF4-FFF2-40B4-BE49-F238E27FC236}">
                <a16:creationId xmlns:a16="http://schemas.microsoft.com/office/drawing/2014/main" id="{00000000-0008-0000-0100-000081000000}"/>
              </a:ext>
            </a:extLst>
          </xdr:cNvPr>
          <xdr:cNvSpPr/>
        </xdr:nvSpPr>
        <xdr:spPr>
          <a:xfrm>
            <a:off x="3288821" y="3801930"/>
            <a:ext cx="360000"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K_Heute" textlink="">
        <xdr:nvSpPr>
          <xdr:cNvPr id="130" name="Textfeld 129" hidden="1">
            <a:extLst>
              <a:ext uri="{FF2B5EF4-FFF2-40B4-BE49-F238E27FC236}">
                <a16:creationId xmlns:a16="http://schemas.microsoft.com/office/drawing/2014/main" id="{00000000-0008-0000-0100-000082000000}"/>
              </a:ext>
            </a:extLst>
          </xdr:cNvPr>
          <xdr:cNvSpPr txBox="1"/>
        </xdr:nvSpPr>
        <xdr:spPr>
          <a:xfrm>
            <a:off x="3211284" y="3913258"/>
            <a:ext cx="517073" cy="13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600">
                <a:solidFill>
                  <a:schemeClr val="accent6">
                    <a:lumMod val="75000"/>
                  </a:schemeClr>
                </a:solidFill>
                <a:latin typeface="Arial" panose="020B0604020202020204" pitchFamily="34" charset="0"/>
                <a:cs typeface="Arial" panose="020B0604020202020204" pitchFamily="34" charset="0"/>
              </a:rPr>
              <a:t>Heute</a:t>
            </a:r>
          </a:p>
        </xdr:txBody>
      </xdr:sp>
    </xdr:grpSp>
    <xdr:clientData/>
  </xdr:twoCellAnchor>
  <xdr:twoCellAnchor editAs="absolute">
    <xdr:from>
      <xdr:col>2</xdr:col>
      <xdr:colOff>45196</xdr:colOff>
      <xdr:row>0</xdr:row>
      <xdr:rowOff>124628</xdr:rowOff>
    </xdr:from>
    <xdr:to>
      <xdr:col>2</xdr:col>
      <xdr:colOff>563596</xdr:colOff>
      <xdr:row>0</xdr:row>
      <xdr:rowOff>483355</xdr:rowOff>
    </xdr:to>
    <xdr:grpSp>
      <xdr:nvGrpSpPr>
        <xdr:cNvPr id="131" name="S_Name_A" hidden="1">
          <a:extLst>
            <a:ext uri="{FF2B5EF4-FFF2-40B4-BE49-F238E27FC236}">
              <a16:creationId xmlns:a16="http://schemas.microsoft.com/office/drawing/2014/main" id="{00000000-0008-0000-0100-000083000000}"/>
            </a:ext>
          </a:extLst>
        </xdr:cNvPr>
        <xdr:cNvGrpSpPr/>
      </xdr:nvGrpSpPr>
      <xdr:grpSpPr>
        <a:xfrm>
          <a:off x="930461" y="124628"/>
          <a:ext cx="518400" cy="358727"/>
          <a:chOff x="3211284" y="3801930"/>
          <a:chExt cx="517073" cy="358727"/>
        </a:xfrm>
      </xdr:grpSpPr>
      <xdr:sp macro="[0]!S_Name_A" textlink="">
        <xdr:nvSpPr>
          <xdr:cNvPr id="132" name="Rechteck: abgerundete Ecken 131" hidden="1">
            <a:extLst>
              <a:ext uri="{FF2B5EF4-FFF2-40B4-BE49-F238E27FC236}">
                <a16:creationId xmlns:a16="http://schemas.microsoft.com/office/drawing/2014/main" id="{00000000-0008-0000-0100-000084000000}"/>
              </a:ext>
            </a:extLst>
          </xdr:cNvPr>
          <xdr:cNvSpPr/>
        </xdr:nvSpPr>
        <xdr:spPr>
          <a:xfrm>
            <a:off x="3288821" y="3801930"/>
            <a:ext cx="361999"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S_Name_A">
        <xdr:nvPicPr>
          <xdr:cNvPr id="133" name="Grafik 132" hidden="1">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355520" y="3818006"/>
            <a:ext cx="228600" cy="228600"/>
          </a:xfrm>
          <a:prstGeom prst="rect">
            <a:avLst/>
          </a:prstGeom>
        </xdr:spPr>
      </xdr:pic>
      <xdr:sp macro="[0]!S_Name_A" textlink="">
        <xdr:nvSpPr>
          <xdr:cNvPr id="134" name="Textfeld 133" hidden="1">
            <a:extLst>
              <a:ext uri="{FF2B5EF4-FFF2-40B4-BE49-F238E27FC236}">
                <a16:creationId xmlns:a16="http://schemas.microsoft.com/office/drawing/2014/main" id="{00000000-0008-0000-0100-000086000000}"/>
              </a:ext>
            </a:extLst>
          </xdr:cNvPr>
          <xdr:cNvSpPr txBox="1"/>
        </xdr:nvSpPr>
        <xdr:spPr>
          <a:xfrm>
            <a:off x="3211284" y="4022272"/>
            <a:ext cx="517073" cy="13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600">
                <a:solidFill>
                  <a:schemeClr val="accent6">
                    <a:lumMod val="75000"/>
                  </a:schemeClr>
                </a:solidFill>
                <a:latin typeface="Arial" panose="020B0604020202020204" pitchFamily="34" charset="0"/>
                <a:cs typeface="Arial" panose="020B0604020202020204" pitchFamily="34" charset="0"/>
              </a:rPr>
              <a:t>Name</a:t>
            </a:r>
          </a:p>
        </xdr:txBody>
      </xdr:sp>
    </xdr:grpSp>
    <xdr:clientData/>
  </xdr:twoCellAnchor>
  <xdr:twoCellAnchor editAs="absolute">
    <xdr:from>
      <xdr:col>1</xdr:col>
      <xdr:colOff>539544</xdr:colOff>
      <xdr:row>0</xdr:row>
      <xdr:rowOff>124624</xdr:rowOff>
    </xdr:from>
    <xdr:to>
      <xdr:col>2</xdr:col>
      <xdr:colOff>171244</xdr:colOff>
      <xdr:row>0</xdr:row>
      <xdr:rowOff>483351</xdr:rowOff>
    </xdr:to>
    <xdr:grpSp>
      <xdr:nvGrpSpPr>
        <xdr:cNvPr id="139" name="S_DstGrd_A" hidden="1">
          <a:extLst>
            <a:ext uri="{FF2B5EF4-FFF2-40B4-BE49-F238E27FC236}">
              <a16:creationId xmlns:a16="http://schemas.microsoft.com/office/drawing/2014/main" id="{00000000-0008-0000-0100-00008B000000}"/>
            </a:ext>
          </a:extLst>
        </xdr:cNvPr>
        <xdr:cNvGrpSpPr/>
      </xdr:nvGrpSpPr>
      <xdr:grpSpPr>
        <a:xfrm>
          <a:off x="539544" y="124624"/>
          <a:ext cx="516965" cy="358727"/>
          <a:chOff x="3211284" y="3801930"/>
          <a:chExt cx="517073" cy="358727"/>
        </a:xfrm>
      </xdr:grpSpPr>
      <xdr:sp macro="[0]!S_DstGrd_A" textlink="">
        <xdr:nvSpPr>
          <xdr:cNvPr id="140" name="Rechteck: abgerundete Ecken 139" hidden="1">
            <a:extLst>
              <a:ext uri="{FF2B5EF4-FFF2-40B4-BE49-F238E27FC236}">
                <a16:creationId xmlns:a16="http://schemas.microsoft.com/office/drawing/2014/main" id="{00000000-0008-0000-0100-00008C000000}"/>
              </a:ext>
            </a:extLst>
          </xdr:cNvPr>
          <xdr:cNvSpPr/>
        </xdr:nvSpPr>
        <xdr:spPr>
          <a:xfrm>
            <a:off x="3288821" y="3801930"/>
            <a:ext cx="361999"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S_DstGrd_A">
        <xdr:nvPicPr>
          <xdr:cNvPr id="141" name="Grafik 140" hidden="1">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1"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355520" y="3818006"/>
            <a:ext cx="228600" cy="228600"/>
          </a:xfrm>
          <a:prstGeom prst="rect">
            <a:avLst/>
          </a:prstGeom>
        </xdr:spPr>
      </xdr:pic>
      <xdr:sp macro="[0]!S_DstGrd_A" textlink="">
        <xdr:nvSpPr>
          <xdr:cNvPr id="142" name="Textfeld 141" hidden="1">
            <a:extLst>
              <a:ext uri="{FF2B5EF4-FFF2-40B4-BE49-F238E27FC236}">
                <a16:creationId xmlns:a16="http://schemas.microsoft.com/office/drawing/2014/main" id="{00000000-0008-0000-0100-00008E000000}"/>
              </a:ext>
            </a:extLst>
          </xdr:cNvPr>
          <xdr:cNvSpPr txBox="1"/>
        </xdr:nvSpPr>
        <xdr:spPr>
          <a:xfrm>
            <a:off x="3211284" y="4022272"/>
            <a:ext cx="517073" cy="13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600">
                <a:solidFill>
                  <a:schemeClr val="accent6">
                    <a:lumMod val="75000"/>
                  </a:schemeClr>
                </a:solidFill>
                <a:latin typeface="Arial" panose="020B0604020202020204" pitchFamily="34" charset="0"/>
                <a:cs typeface="Arial" panose="020B0604020202020204" pitchFamily="34" charset="0"/>
              </a:rPr>
              <a:t>DstGrd</a:t>
            </a:r>
          </a:p>
        </xdr:txBody>
      </xdr:sp>
    </xdr:grpSp>
    <xdr:clientData/>
  </xdr:twoCellAnchor>
  <xdr:twoCellAnchor editAs="absolute">
    <xdr:from>
      <xdr:col>2</xdr:col>
      <xdr:colOff>988311</xdr:colOff>
      <xdr:row>0</xdr:row>
      <xdr:rowOff>57978</xdr:rowOff>
    </xdr:from>
    <xdr:to>
      <xdr:col>6</xdr:col>
      <xdr:colOff>160208</xdr:colOff>
      <xdr:row>2</xdr:row>
      <xdr:rowOff>175005</xdr:rowOff>
    </xdr:to>
    <mc:AlternateContent xmlns:mc="http://schemas.openxmlformats.org/markup-compatibility/2006" xmlns:sle15="http://schemas.microsoft.com/office/drawing/2012/slicer">
      <mc:Choice Requires="sle15">
        <xdr:graphicFrame macro="">
          <xdr:nvGraphicFramePr>
            <xdr:cNvPr id="143" name="F_Hauptabschnitt" hidden="1">
              <a:extLst>
                <a:ext uri="{FF2B5EF4-FFF2-40B4-BE49-F238E27FC236}">
                  <a16:creationId xmlns:a16="http://schemas.microsoft.com/office/drawing/2014/main" id="{00000000-0008-0000-0100-00008F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_Hauptabschnitt"/>
            </a:graphicData>
          </a:graphic>
        </xdr:graphicFrame>
      </mc:Choice>
      <mc:Fallback xmlns="">
        <xdr:sp macro="" textlink="">
          <xdr:nvSpPr>
            <xdr:cNvPr id="0" name=""/>
            <xdr:cNvSpPr>
              <a:spLocks noTextEdit="1"/>
            </xdr:cNvSpPr>
          </xdr:nvSpPr>
          <xdr:spPr>
            <a:xfrm>
              <a:off x="1874136" y="57978"/>
              <a:ext cx="1276922" cy="955227"/>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fLocksWithSheet="0" fPrintsWithSheet="0"/>
  </xdr:twoCellAnchor>
  <xdr:twoCellAnchor editAs="absolute">
    <xdr:from>
      <xdr:col>2</xdr:col>
      <xdr:colOff>988311</xdr:colOff>
      <xdr:row>0</xdr:row>
      <xdr:rowOff>57978</xdr:rowOff>
    </xdr:from>
    <xdr:to>
      <xdr:col>6</xdr:col>
      <xdr:colOff>160208</xdr:colOff>
      <xdr:row>5</xdr:row>
      <xdr:rowOff>179146</xdr:rowOff>
    </xdr:to>
    <mc:AlternateContent xmlns:mc="http://schemas.openxmlformats.org/markup-compatibility/2006" xmlns:sle15="http://schemas.microsoft.com/office/drawing/2012/slicer">
      <mc:Choice Requires="sle15">
        <xdr:graphicFrame macro="">
          <xdr:nvGraphicFramePr>
            <xdr:cNvPr id="144" name="F_Messe" hidden="1">
              <a:extLst>
                <a:ext uri="{FF2B5EF4-FFF2-40B4-BE49-F238E27FC236}">
                  <a16:creationId xmlns:a16="http://schemas.microsoft.com/office/drawing/2014/main" id="{00000000-0008-0000-0100-000090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_Messe"/>
            </a:graphicData>
          </a:graphic>
        </xdr:graphicFrame>
      </mc:Choice>
      <mc:Fallback xmlns="">
        <xdr:sp macro="" textlink="">
          <xdr:nvSpPr>
            <xdr:cNvPr id="0" name=""/>
            <xdr:cNvSpPr>
              <a:spLocks noTextEdit="1"/>
            </xdr:cNvSpPr>
          </xdr:nvSpPr>
          <xdr:spPr>
            <a:xfrm>
              <a:off x="1874136" y="57978"/>
              <a:ext cx="1276922" cy="1540393"/>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fLocksWithSheet="0" fPrintsWithSheet="0"/>
  </xdr:twoCellAnchor>
  <xdr:twoCellAnchor editAs="absolute">
    <xdr:from>
      <xdr:col>2</xdr:col>
      <xdr:colOff>516731</xdr:colOff>
      <xdr:row>0</xdr:row>
      <xdr:rowOff>124622</xdr:rowOff>
    </xdr:from>
    <xdr:to>
      <xdr:col>3</xdr:col>
      <xdr:colOff>196406</xdr:colOff>
      <xdr:row>0</xdr:row>
      <xdr:rowOff>484622</xdr:rowOff>
    </xdr:to>
    <xdr:sp macro="[0]!M_Hauptabschnitt" textlink="">
      <xdr:nvSpPr>
        <xdr:cNvPr id="145" name="F_HA" hidden="1">
          <a:extLst>
            <a:ext uri="{FF2B5EF4-FFF2-40B4-BE49-F238E27FC236}">
              <a16:creationId xmlns:a16="http://schemas.microsoft.com/office/drawing/2014/main" id="{00000000-0008-0000-0100-000091000000}"/>
            </a:ext>
          </a:extLst>
        </xdr:cNvPr>
        <xdr:cNvSpPr/>
      </xdr:nvSpPr>
      <xdr:spPr>
        <a:xfrm>
          <a:off x="1402970" y="124622"/>
          <a:ext cx="756000" cy="3600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solidFill>
                <a:schemeClr val="accent6">
                  <a:lumMod val="75000"/>
                </a:schemeClr>
              </a:solidFill>
            </a:rPr>
            <a:t>HA</a:t>
          </a:r>
        </a:p>
      </xdr:txBody>
    </xdr:sp>
    <xdr:clientData/>
  </xdr:twoCellAnchor>
  <xdr:twoCellAnchor editAs="absolute">
    <xdr:from>
      <xdr:col>1</xdr:col>
      <xdr:colOff>618382</xdr:colOff>
      <xdr:row>0</xdr:row>
      <xdr:rowOff>124622</xdr:rowOff>
    </xdr:from>
    <xdr:to>
      <xdr:col>2</xdr:col>
      <xdr:colOff>489009</xdr:colOff>
      <xdr:row>0</xdr:row>
      <xdr:rowOff>484622</xdr:rowOff>
    </xdr:to>
    <xdr:sp macro="[0]!M_Messe" textlink="">
      <xdr:nvSpPr>
        <xdr:cNvPr id="146" name="F_Me" hidden="1">
          <a:extLst>
            <a:ext uri="{FF2B5EF4-FFF2-40B4-BE49-F238E27FC236}">
              <a16:creationId xmlns:a16="http://schemas.microsoft.com/office/drawing/2014/main" id="{00000000-0008-0000-0100-000092000000}"/>
            </a:ext>
          </a:extLst>
        </xdr:cNvPr>
        <xdr:cNvSpPr/>
      </xdr:nvSpPr>
      <xdr:spPr>
        <a:xfrm>
          <a:off x="618382" y="124622"/>
          <a:ext cx="756866" cy="3600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solidFill>
                <a:schemeClr val="accent6">
                  <a:lumMod val="75000"/>
                </a:schemeClr>
              </a:solidFill>
            </a:rPr>
            <a:t>Messe</a:t>
          </a:r>
        </a:p>
      </xdr:txBody>
    </xdr:sp>
    <xdr:clientData/>
  </xdr:twoCellAnchor>
  <xdr:twoCellAnchor editAs="absolute">
    <xdr:from>
      <xdr:col>2</xdr:col>
      <xdr:colOff>908591</xdr:colOff>
      <xdr:row>0</xdr:row>
      <xdr:rowOff>124870</xdr:rowOff>
    </xdr:from>
    <xdr:to>
      <xdr:col>3</xdr:col>
      <xdr:colOff>192266</xdr:colOff>
      <xdr:row>0</xdr:row>
      <xdr:rowOff>483597</xdr:rowOff>
    </xdr:to>
    <xdr:grpSp>
      <xdr:nvGrpSpPr>
        <xdr:cNvPr id="147" name="P_Loeschen" hidden="1">
          <a:extLst>
            <a:ext uri="{FF2B5EF4-FFF2-40B4-BE49-F238E27FC236}">
              <a16:creationId xmlns:a16="http://schemas.microsoft.com/office/drawing/2014/main" id="{00000000-0008-0000-0100-000093000000}"/>
            </a:ext>
          </a:extLst>
        </xdr:cNvPr>
        <xdr:cNvGrpSpPr/>
      </xdr:nvGrpSpPr>
      <xdr:grpSpPr>
        <a:xfrm>
          <a:off x="1793856" y="124870"/>
          <a:ext cx="359439" cy="358727"/>
          <a:chOff x="4530312" y="3105970"/>
          <a:chExt cx="361999" cy="358727"/>
        </a:xfrm>
      </xdr:grpSpPr>
      <xdr:sp macro="[0]!P_Loeschen" textlink="">
        <xdr:nvSpPr>
          <xdr:cNvPr id="148" name="Rechteck: abgerundete Ecken 147" hidden="1">
            <a:extLst>
              <a:ext uri="{FF2B5EF4-FFF2-40B4-BE49-F238E27FC236}">
                <a16:creationId xmlns:a16="http://schemas.microsoft.com/office/drawing/2014/main" id="{00000000-0008-0000-0100-000094000000}"/>
              </a:ext>
            </a:extLst>
          </xdr:cNvPr>
          <xdr:cNvSpPr/>
        </xdr:nvSpPr>
        <xdr:spPr>
          <a:xfrm>
            <a:off x="4530312" y="3105970"/>
            <a:ext cx="361999"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P_Loeschen">
        <xdr:nvPicPr>
          <xdr:cNvPr id="149" name="Grafik 148" hidden="1">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2" cstate="email">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561911" y="3135933"/>
            <a:ext cx="298800" cy="298800"/>
          </a:xfrm>
          <a:prstGeom prst="rect">
            <a:avLst/>
          </a:prstGeom>
        </xdr:spPr>
      </xdr:pic>
    </xdr:grpSp>
    <xdr:clientData/>
  </xdr:twoCellAnchor>
  <xdr:twoCellAnchor editAs="absolute">
    <xdr:from>
      <xdr:col>2</xdr:col>
      <xdr:colOff>516731</xdr:colOff>
      <xdr:row>0</xdr:row>
      <xdr:rowOff>124870</xdr:rowOff>
    </xdr:from>
    <xdr:to>
      <xdr:col>2</xdr:col>
      <xdr:colOff>876731</xdr:colOff>
      <xdr:row>0</xdr:row>
      <xdr:rowOff>483597</xdr:rowOff>
    </xdr:to>
    <xdr:grpSp>
      <xdr:nvGrpSpPr>
        <xdr:cNvPr id="150" name="P_Verschieben" hidden="1">
          <a:extLst>
            <a:ext uri="{FF2B5EF4-FFF2-40B4-BE49-F238E27FC236}">
              <a16:creationId xmlns:a16="http://schemas.microsoft.com/office/drawing/2014/main" id="{00000000-0008-0000-0100-000096000000}"/>
            </a:ext>
          </a:extLst>
        </xdr:cNvPr>
        <xdr:cNvGrpSpPr/>
      </xdr:nvGrpSpPr>
      <xdr:grpSpPr>
        <a:xfrm>
          <a:off x="1401996" y="124870"/>
          <a:ext cx="360000" cy="358727"/>
          <a:chOff x="2814703" y="4545741"/>
          <a:chExt cx="360000" cy="358727"/>
        </a:xfrm>
      </xdr:grpSpPr>
      <xdr:sp macro="[0]!P_Versetzt" textlink="">
        <xdr:nvSpPr>
          <xdr:cNvPr id="151" name="Rechteck: abgerundete Ecken 150" hidden="1">
            <a:extLst>
              <a:ext uri="{FF2B5EF4-FFF2-40B4-BE49-F238E27FC236}">
                <a16:creationId xmlns:a16="http://schemas.microsoft.com/office/drawing/2014/main" id="{00000000-0008-0000-0100-000097000000}"/>
              </a:ext>
            </a:extLst>
          </xdr:cNvPr>
          <xdr:cNvSpPr/>
        </xdr:nvSpPr>
        <xdr:spPr>
          <a:xfrm>
            <a:off x="2814703" y="4545741"/>
            <a:ext cx="360000"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P_Versetzt">
        <xdr:nvPicPr>
          <xdr:cNvPr id="152" name="Grafik 151" hidden="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3"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2843867" y="4575565"/>
            <a:ext cx="301673" cy="299078"/>
          </a:xfrm>
          <a:prstGeom prst="rect">
            <a:avLst/>
          </a:prstGeom>
        </xdr:spPr>
      </xdr:pic>
    </xdr:grpSp>
    <xdr:clientData/>
  </xdr:twoCellAnchor>
  <xdr:twoCellAnchor editAs="absolute">
    <xdr:from>
      <xdr:col>2</xdr:col>
      <xdr:colOff>124004</xdr:colOff>
      <xdr:row>0</xdr:row>
      <xdr:rowOff>124870</xdr:rowOff>
    </xdr:from>
    <xdr:to>
      <xdr:col>2</xdr:col>
      <xdr:colOff>484870</xdr:colOff>
      <xdr:row>0</xdr:row>
      <xdr:rowOff>483597</xdr:rowOff>
    </xdr:to>
    <xdr:grpSp>
      <xdr:nvGrpSpPr>
        <xdr:cNvPr id="153" name="P_Bearbeiten" hidden="1">
          <a:extLst>
            <a:ext uri="{FF2B5EF4-FFF2-40B4-BE49-F238E27FC236}">
              <a16:creationId xmlns:a16="http://schemas.microsoft.com/office/drawing/2014/main" id="{00000000-0008-0000-0100-000099000000}"/>
            </a:ext>
          </a:extLst>
        </xdr:cNvPr>
        <xdr:cNvGrpSpPr/>
      </xdr:nvGrpSpPr>
      <xdr:grpSpPr>
        <a:xfrm>
          <a:off x="1009269" y="124870"/>
          <a:ext cx="360866" cy="358727"/>
          <a:chOff x="2814703" y="3839750"/>
          <a:chExt cx="360000" cy="358727"/>
        </a:xfrm>
      </xdr:grpSpPr>
      <xdr:sp macro="[0]!P_BearbeitenAufrufen" textlink="">
        <xdr:nvSpPr>
          <xdr:cNvPr id="154" name="Rechteck: abgerundete Ecken 153" hidden="1">
            <a:extLst>
              <a:ext uri="{FF2B5EF4-FFF2-40B4-BE49-F238E27FC236}">
                <a16:creationId xmlns:a16="http://schemas.microsoft.com/office/drawing/2014/main" id="{00000000-0008-0000-0100-00009A000000}"/>
              </a:ext>
            </a:extLst>
          </xdr:cNvPr>
          <xdr:cNvSpPr/>
        </xdr:nvSpPr>
        <xdr:spPr>
          <a:xfrm>
            <a:off x="2814703" y="3839750"/>
            <a:ext cx="360000"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P_BearbeitenAufrufen">
        <xdr:nvPicPr>
          <xdr:cNvPr id="155" name="Grafik 154" hidden="1">
            <a:extLst>
              <a:ext uri="{FF2B5EF4-FFF2-40B4-BE49-F238E27FC236}">
                <a16:creationId xmlns:a16="http://schemas.microsoft.com/office/drawing/2014/main" id="{00000000-0008-0000-0100-00009B000000}"/>
              </a:ext>
            </a:extLst>
          </xdr:cNvPr>
          <xdr:cNvPicPr>
            <a:picLocks noChangeAspect="1"/>
          </xdr:cNvPicPr>
        </xdr:nvPicPr>
        <xdr:blipFill>
          <a:blip xmlns:r="http://schemas.openxmlformats.org/officeDocument/2006/relationships" r:embed="rId4"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2843867" y="3869574"/>
            <a:ext cx="301673" cy="299078"/>
          </a:xfrm>
          <a:prstGeom prst="rect">
            <a:avLst/>
          </a:prstGeom>
          <a:noFill/>
        </xdr:spPr>
      </xdr:pic>
    </xdr:grpSp>
    <xdr:clientData/>
  </xdr:twoCellAnchor>
  <xdr:twoCellAnchor editAs="absolute">
    <xdr:from>
      <xdr:col>1</xdr:col>
      <xdr:colOff>618382</xdr:colOff>
      <xdr:row>0</xdr:row>
      <xdr:rowOff>124622</xdr:rowOff>
    </xdr:from>
    <xdr:to>
      <xdr:col>2</xdr:col>
      <xdr:colOff>92143</xdr:colOff>
      <xdr:row>0</xdr:row>
      <xdr:rowOff>484622</xdr:rowOff>
    </xdr:to>
    <xdr:grpSp>
      <xdr:nvGrpSpPr>
        <xdr:cNvPr id="156" name="P_Anlegen" hidden="1">
          <a:extLst>
            <a:ext uri="{FF2B5EF4-FFF2-40B4-BE49-F238E27FC236}">
              <a16:creationId xmlns:a16="http://schemas.microsoft.com/office/drawing/2014/main" id="{00000000-0008-0000-0100-00009C000000}"/>
            </a:ext>
          </a:extLst>
        </xdr:cNvPr>
        <xdr:cNvGrpSpPr/>
      </xdr:nvGrpSpPr>
      <xdr:grpSpPr>
        <a:xfrm>
          <a:off x="618382" y="124622"/>
          <a:ext cx="359026" cy="360000"/>
          <a:chOff x="3364809" y="2847041"/>
          <a:chExt cx="360000" cy="360000"/>
        </a:xfrm>
      </xdr:grpSpPr>
      <xdr:sp macro="[0]!P_AnlegenAufrufen" textlink="">
        <xdr:nvSpPr>
          <xdr:cNvPr id="157" name="Rechteck: abgerundete Ecken 156" hidden="1">
            <a:extLst>
              <a:ext uri="{FF2B5EF4-FFF2-40B4-BE49-F238E27FC236}">
                <a16:creationId xmlns:a16="http://schemas.microsoft.com/office/drawing/2014/main" id="{00000000-0008-0000-0100-00009D000000}"/>
              </a:ext>
            </a:extLst>
          </xdr:cNvPr>
          <xdr:cNvSpPr/>
        </xdr:nvSpPr>
        <xdr:spPr>
          <a:xfrm>
            <a:off x="3364809" y="2847041"/>
            <a:ext cx="360000" cy="3600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P_AnlegenAufrufen">
        <xdr:nvPicPr>
          <xdr:cNvPr id="158" name="Grafik 157" hidden="1">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393520" y="2879416"/>
            <a:ext cx="302578" cy="295251"/>
          </a:xfrm>
          <a:prstGeom prst="rect">
            <a:avLst/>
          </a:prstGeom>
        </xdr:spPr>
      </xdr:pic>
    </xdr:grpSp>
    <xdr:clientData/>
  </xdr:twoCellAnchor>
  <xdr:twoCellAnchor editAs="absolute">
    <xdr:from>
      <xdr:col>2</xdr:col>
      <xdr:colOff>908881</xdr:colOff>
      <xdr:row>0</xdr:row>
      <xdr:rowOff>124534</xdr:rowOff>
    </xdr:from>
    <xdr:to>
      <xdr:col>3</xdr:col>
      <xdr:colOff>192556</xdr:colOff>
      <xdr:row>0</xdr:row>
      <xdr:rowOff>483261</xdr:rowOff>
    </xdr:to>
    <xdr:grpSp>
      <xdr:nvGrpSpPr>
        <xdr:cNvPr id="159" name="Einstellungen" hidden="1">
          <a:extLst>
            <a:ext uri="{FF2B5EF4-FFF2-40B4-BE49-F238E27FC236}">
              <a16:creationId xmlns:a16="http://schemas.microsoft.com/office/drawing/2014/main" id="{00000000-0008-0000-0100-00009F000000}"/>
            </a:ext>
          </a:extLst>
        </xdr:cNvPr>
        <xdr:cNvGrpSpPr/>
      </xdr:nvGrpSpPr>
      <xdr:grpSpPr>
        <a:xfrm>
          <a:off x="1794146" y="124534"/>
          <a:ext cx="359439" cy="358727"/>
          <a:chOff x="5835354" y="1279162"/>
          <a:chExt cx="360000" cy="358727"/>
        </a:xfrm>
      </xdr:grpSpPr>
      <xdr:sp macro="[0]!M_Einstellungen" textlink="">
        <xdr:nvSpPr>
          <xdr:cNvPr id="160" name="Rechteck: abgerundete Ecken 159" hidden="1">
            <a:extLst>
              <a:ext uri="{FF2B5EF4-FFF2-40B4-BE49-F238E27FC236}">
                <a16:creationId xmlns:a16="http://schemas.microsoft.com/office/drawing/2014/main" id="{00000000-0008-0000-0100-0000A0000000}"/>
              </a:ext>
            </a:extLst>
          </xdr:cNvPr>
          <xdr:cNvSpPr/>
        </xdr:nvSpPr>
        <xdr:spPr>
          <a:xfrm>
            <a:off x="5835354" y="1279162"/>
            <a:ext cx="360000"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M_Einstellungen">
        <xdr:nvPicPr>
          <xdr:cNvPr id="161" name="Grafik 160" hidden="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7"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5865954" y="1309125"/>
            <a:ext cx="298800" cy="298800"/>
          </a:xfrm>
          <a:prstGeom prst="rect">
            <a:avLst/>
          </a:prstGeom>
        </xdr:spPr>
      </xdr:pic>
    </xdr:grpSp>
    <xdr:clientData/>
  </xdr:twoCellAnchor>
  <xdr:twoCellAnchor editAs="absolute">
    <xdr:from>
      <xdr:col>2</xdr:col>
      <xdr:colOff>516731</xdr:colOff>
      <xdr:row>0</xdr:row>
      <xdr:rowOff>124623</xdr:rowOff>
    </xdr:from>
    <xdr:to>
      <xdr:col>2</xdr:col>
      <xdr:colOff>876731</xdr:colOff>
      <xdr:row>0</xdr:row>
      <xdr:rowOff>483350</xdr:rowOff>
    </xdr:to>
    <xdr:grpSp>
      <xdr:nvGrpSpPr>
        <xdr:cNvPr id="165" name="Sortieren" hidden="1">
          <a:extLst>
            <a:ext uri="{FF2B5EF4-FFF2-40B4-BE49-F238E27FC236}">
              <a16:creationId xmlns:a16="http://schemas.microsoft.com/office/drawing/2014/main" id="{00000000-0008-0000-0100-0000A5000000}"/>
            </a:ext>
          </a:extLst>
        </xdr:cNvPr>
        <xdr:cNvGrpSpPr/>
      </xdr:nvGrpSpPr>
      <xdr:grpSpPr>
        <a:xfrm>
          <a:off x="1401996" y="124623"/>
          <a:ext cx="360000" cy="358727"/>
          <a:chOff x="3288821" y="3801930"/>
          <a:chExt cx="361999" cy="358727"/>
        </a:xfrm>
      </xdr:grpSpPr>
      <xdr:sp macro="[0]!M_Sortieren" textlink="">
        <xdr:nvSpPr>
          <xdr:cNvPr id="166" name="Rechteck: abgerundete Ecken 165" hidden="1">
            <a:extLst>
              <a:ext uri="{FF2B5EF4-FFF2-40B4-BE49-F238E27FC236}">
                <a16:creationId xmlns:a16="http://schemas.microsoft.com/office/drawing/2014/main" id="{00000000-0008-0000-0100-0000A6000000}"/>
              </a:ext>
            </a:extLst>
          </xdr:cNvPr>
          <xdr:cNvSpPr/>
        </xdr:nvSpPr>
        <xdr:spPr>
          <a:xfrm>
            <a:off x="3288821" y="3801930"/>
            <a:ext cx="361999"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M_Sortieren">
        <xdr:nvPicPr>
          <xdr:cNvPr id="167" name="Grafik 166" hidden="1">
            <a:extLst>
              <a:ext uri="{FF2B5EF4-FFF2-40B4-BE49-F238E27FC236}">
                <a16:creationId xmlns:a16="http://schemas.microsoft.com/office/drawing/2014/main" id="{00000000-0008-0000-0100-0000A7000000}"/>
              </a:ext>
            </a:extLst>
          </xdr:cNvPr>
          <xdr:cNvPicPr>
            <a:picLocks noChangeAspect="1"/>
          </xdr:cNvPicPr>
        </xdr:nvPicPr>
        <xdr:blipFill>
          <a:blip xmlns:r="http://schemas.openxmlformats.org/officeDocument/2006/relationships" r:embed="rId1"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355520" y="3866993"/>
            <a:ext cx="228600" cy="228600"/>
          </a:xfrm>
          <a:prstGeom prst="rect">
            <a:avLst/>
          </a:prstGeom>
        </xdr:spPr>
      </xdr:pic>
    </xdr:grpSp>
    <xdr:clientData/>
  </xdr:twoCellAnchor>
  <xdr:twoCellAnchor editAs="absolute">
    <xdr:from>
      <xdr:col>2</xdr:col>
      <xdr:colOff>124004</xdr:colOff>
      <xdr:row>0</xdr:row>
      <xdr:rowOff>124623</xdr:rowOff>
    </xdr:from>
    <xdr:to>
      <xdr:col>2</xdr:col>
      <xdr:colOff>484870</xdr:colOff>
      <xdr:row>0</xdr:row>
      <xdr:rowOff>483350</xdr:rowOff>
    </xdr:to>
    <xdr:grpSp>
      <xdr:nvGrpSpPr>
        <xdr:cNvPr id="168" name="Filtern" hidden="1">
          <a:extLst>
            <a:ext uri="{FF2B5EF4-FFF2-40B4-BE49-F238E27FC236}">
              <a16:creationId xmlns:a16="http://schemas.microsoft.com/office/drawing/2014/main" id="{00000000-0008-0000-0100-0000A8000000}"/>
            </a:ext>
          </a:extLst>
        </xdr:cNvPr>
        <xdr:cNvGrpSpPr/>
      </xdr:nvGrpSpPr>
      <xdr:grpSpPr>
        <a:xfrm>
          <a:off x="1009269" y="124623"/>
          <a:ext cx="360866" cy="358727"/>
          <a:chOff x="4576707" y="3358429"/>
          <a:chExt cx="361999" cy="358727"/>
        </a:xfrm>
      </xdr:grpSpPr>
      <xdr:sp macro="[0]!M_Filtern" textlink="">
        <xdr:nvSpPr>
          <xdr:cNvPr id="169" name="Rechteck: abgerundete Ecken 168" hidden="1">
            <a:extLst>
              <a:ext uri="{FF2B5EF4-FFF2-40B4-BE49-F238E27FC236}">
                <a16:creationId xmlns:a16="http://schemas.microsoft.com/office/drawing/2014/main" id="{00000000-0008-0000-0100-0000A9000000}"/>
              </a:ext>
            </a:extLst>
          </xdr:cNvPr>
          <xdr:cNvSpPr/>
        </xdr:nvSpPr>
        <xdr:spPr>
          <a:xfrm>
            <a:off x="4576707" y="3358429"/>
            <a:ext cx="361999"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M_Filtern">
        <xdr:nvPicPr>
          <xdr:cNvPr id="170" name="Grafik 169" hidden="1">
            <a:extLst>
              <a:ext uri="{FF2B5EF4-FFF2-40B4-BE49-F238E27FC236}">
                <a16:creationId xmlns:a16="http://schemas.microsoft.com/office/drawing/2014/main" id="{00000000-0008-0000-0100-0000AA000000}"/>
              </a:ext>
            </a:extLst>
          </xdr:cNvPr>
          <xdr:cNvPicPr>
            <a:picLocks noChangeAspect="1"/>
          </xdr:cNvPicPr>
        </xdr:nvPicPr>
        <xdr:blipFill>
          <a:blip xmlns:r="http://schemas.openxmlformats.org/officeDocument/2006/relationships" r:embed="rId8"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4608306" y="3388392"/>
            <a:ext cx="298800" cy="298800"/>
          </a:xfrm>
          <a:prstGeom prst="rect">
            <a:avLst/>
          </a:prstGeom>
        </xdr:spPr>
      </xdr:pic>
    </xdr:grpSp>
    <xdr:clientData/>
  </xdr:twoCellAnchor>
  <xdr:twoCellAnchor editAs="absolute">
    <xdr:from>
      <xdr:col>1</xdr:col>
      <xdr:colOff>618382</xdr:colOff>
      <xdr:row>0</xdr:row>
      <xdr:rowOff>124623</xdr:rowOff>
    </xdr:from>
    <xdr:to>
      <xdr:col>2</xdr:col>
      <xdr:colOff>92143</xdr:colOff>
      <xdr:row>0</xdr:row>
      <xdr:rowOff>484623</xdr:rowOff>
    </xdr:to>
    <xdr:grpSp>
      <xdr:nvGrpSpPr>
        <xdr:cNvPr id="171" name="Person" hidden="1">
          <a:extLst>
            <a:ext uri="{FF2B5EF4-FFF2-40B4-BE49-F238E27FC236}">
              <a16:creationId xmlns:a16="http://schemas.microsoft.com/office/drawing/2014/main" id="{00000000-0008-0000-0100-0000AB000000}"/>
            </a:ext>
          </a:extLst>
        </xdr:cNvPr>
        <xdr:cNvGrpSpPr/>
      </xdr:nvGrpSpPr>
      <xdr:grpSpPr>
        <a:xfrm>
          <a:off x="618382" y="124623"/>
          <a:ext cx="359026" cy="360000"/>
          <a:chOff x="2549884" y="2743380"/>
          <a:chExt cx="361999" cy="358727"/>
        </a:xfrm>
      </xdr:grpSpPr>
      <xdr:sp macro="[0]!M_Person" textlink="">
        <xdr:nvSpPr>
          <xdr:cNvPr id="172" name="Rechteck: abgerundete Ecken 171" hidden="1">
            <a:extLst>
              <a:ext uri="{FF2B5EF4-FFF2-40B4-BE49-F238E27FC236}">
                <a16:creationId xmlns:a16="http://schemas.microsoft.com/office/drawing/2014/main" id="{00000000-0008-0000-0100-0000AC000000}"/>
              </a:ext>
            </a:extLst>
          </xdr:cNvPr>
          <xdr:cNvSpPr/>
        </xdr:nvSpPr>
        <xdr:spPr>
          <a:xfrm>
            <a:off x="2549884" y="2743380"/>
            <a:ext cx="361999" cy="358727"/>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M_Person">
        <xdr:nvPicPr>
          <xdr:cNvPr id="173" name="Grafik 172" descr="Benutzer mit einfarbiger Füllung" hidden="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581483" y="2773343"/>
            <a:ext cx="298800" cy="298800"/>
          </a:xfrm>
          <a:prstGeom prst="rect">
            <a:avLst/>
          </a:prstGeom>
        </xdr:spPr>
      </xdr:pic>
    </xdr:grpSp>
    <xdr:clientData/>
  </xdr:twoCellAnchor>
  <xdr:twoCellAnchor editAs="absolute">
    <xdr:from>
      <xdr:col>1</xdr:col>
      <xdr:colOff>49698</xdr:colOff>
      <xdr:row>0</xdr:row>
      <xdr:rowOff>53686</xdr:rowOff>
    </xdr:from>
    <xdr:to>
      <xdr:col>1</xdr:col>
      <xdr:colOff>527588</xdr:colOff>
      <xdr:row>0</xdr:row>
      <xdr:rowOff>551918</xdr:rowOff>
    </xdr:to>
    <xdr:grpSp>
      <xdr:nvGrpSpPr>
        <xdr:cNvPr id="174" name="M_Hamburger">
          <a:extLst>
            <a:ext uri="{FF2B5EF4-FFF2-40B4-BE49-F238E27FC236}">
              <a16:creationId xmlns:a16="http://schemas.microsoft.com/office/drawing/2014/main" id="{00000000-0008-0000-0100-0000AE000000}"/>
            </a:ext>
          </a:extLst>
        </xdr:cNvPr>
        <xdr:cNvGrpSpPr/>
      </xdr:nvGrpSpPr>
      <xdr:grpSpPr>
        <a:xfrm>
          <a:off x="49698" y="53686"/>
          <a:ext cx="477890" cy="498232"/>
          <a:chOff x="7458074" y="2133600"/>
          <a:chExt cx="619125" cy="647700"/>
        </a:xfrm>
      </xdr:grpSpPr>
      <xdr:sp macro="[0]!M_Hamburger" textlink="">
        <xdr:nvSpPr>
          <xdr:cNvPr id="175" name="Rechteck: abgerundete Ecken 174">
            <a:extLst>
              <a:ext uri="{FF2B5EF4-FFF2-40B4-BE49-F238E27FC236}">
                <a16:creationId xmlns:a16="http://schemas.microsoft.com/office/drawing/2014/main" id="{00000000-0008-0000-0100-0000AF000000}"/>
              </a:ext>
            </a:extLst>
          </xdr:cNvPr>
          <xdr:cNvSpPr/>
        </xdr:nvSpPr>
        <xdr:spPr>
          <a:xfrm>
            <a:off x="7458074" y="2133600"/>
            <a:ext cx="619125"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M_Hamburger">
        <xdr:nvPicPr>
          <xdr:cNvPr id="176" name="Grafik 175">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77136" y="2266950"/>
            <a:ext cx="381000" cy="381000"/>
          </a:xfrm>
          <a:prstGeom prst="rect">
            <a:avLst/>
          </a:prstGeom>
        </xdr:spPr>
      </xdr:pic>
    </xdr:grpSp>
    <xdr:clientData/>
  </xdr:twoCellAnchor>
  <xdr:twoCellAnchor editAs="absolute">
    <xdr:from>
      <xdr:col>1</xdr:col>
      <xdr:colOff>539544</xdr:colOff>
      <xdr:row>0</xdr:row>
      <xdr:rowOff>515149</xdr:rowOff>
    </xdr:from>
    <xdr:to>
      <xdr:col>2</xdr:col>
      <xdr:colOff>171244</xdr:colOff>
      <xdr:row>2</xdr:row>
      <xdr:rowOff>35676</xdr:rowOff>
    </xdr:to>
    <xdr:grpSp>
      <xdr:nvGrpSpPr>
        <xdr:cNvPr id="4" name="S_DstGrd_Au" hidden="1">
          <a:extLst>
            <a:ext uri="{FF2B5EF4-FFF2-40B4-BE49-F238E27FC236}">
              <a16:creationId xmlns:a16="http://schemas.microsoft.com/office/drawing/2014/main" id="{00000000-0008-0000-0100-000004000000}"/>
            </a:ext>
          </a:extLst>
        </xdr:cNvPr>
        <xdr:cNvGrpSpPr/>
      </xdr:nvGrpSpPr>
      <xdr:grpSpPr>
        <a:xfrm>
          <a:off x="539544" y="515149"/>
          <a:ext cx="516965" cy="360968"/>
          <a:chOff x="539544" y="515149"/>
          <a:chExt cx="517123" cy="357654"/>
        </a:xfrm>
      </xdr:grpSpPr>
      <xdr:sp macro="[0]!S_DstGrd_Au" textlink="">
        <xdr:nvSpPr>
          <xdr:cNvPr id="182" name="Rechteck: abgerundete Ecken 181" hidden="1">
            <a:extLst>
              <a:ext uri="{FF2B5EF4-FFF2-40B4-BE49-F238E27FC236}">
                <a16:creationId xmlns:a16="http://schemas.microsoft.com/office/drawing/2014/main" id="{00000000-0008-0000-0100-0000B6000000}"/>
              </a:ext>
            </a:extLst>
          </xdr:cNvPr>
          <xdr:cNvSpPr/>
        </xdr:nvSpPr>
        <xdr:spPr>
          <a:xfrm>
            <a:off x="617434" y="515149"/>
            <a:ext cx="361342" cy="357654"/>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S_DstGrd_Au" textlink="">
        <xdr:nvSpPr>
          <xdr:cNvPr id="184" name="Textfeld 183" hidden="1">
            <a:extLst>
              <a:ext uri="{FF2B5EF4-FFF2-40B4-BE49-F238E27FC236}">
                <a16:creationId xmlns:a16="http://schemas.microsoft.com/office/drawing/2014/main" id="{00000000-0008-0000-0100-0000B8000000}"/>
              </a:ext>
            </a:extLst>
          </xdr:cNvPr>
          <xdr:cNvSpPr txBox="1"/>
        </xdr:nvSpPr>
        <xdr:spPr>
          <a:xfrm>
            <a:off x="539544" y="734418"/>
            <a:ext cx="517123" cy="13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600">
                <a:solidFill>
                  <a:schemeClr val="accent6">
                    <a:lumMod val="75000"/>
                  </a:schemeClr>
                </a:solidFill>
                <a:latin typeface="Arial" panose="020B0604020202020204" pitchFamily="34" charset="0"/>
                <a:cs typeface="Arial" panose="020B0604020202020204" pitchFamily="34" charset="0"/>
              </a:rPr>
              <a:t>DstGrd</a:t>
            </a:r>
          </a:p>
        </xdr:txBody>
      </xdr:sp>
      <xdr:grpSp>
        <xdr:nvGrpSpPr>
          <xdr:cNvPr id="3" name="Gruppieren 2" hidden="1">
            <a:extLst>
              <a:ext uri="{FF2B5EF4-FFF2-40B4-BE49-F238E27FC236}">
                <a16:creationId xmlns:a16="http://schemas.microsoft.com/office/drawing/2014/main" id="{00000000-0008-0000-0100-000003000000}"/>
              </a:ext>
            </a:extLst>
          </xdr:cNvPr>
          <xdr:cNvGrpSpPr/>
        </xdr:nvGrpSpPr>
        <xdr:grpSpPr>
          <a:xfrm>
            <a:off x="684437" y="531225"/>
            <a:ext cx="191971" cy="227902"/>
            <a:chOff x="684437" y="531225"/>
            <a:chExt cx="191971" cy="227902"/>
          </a:xfrm>
        </xdr:grpSpPr>
        <xdr:pic macro="[0]!S_DstGrd_Au">
          <xdr:nvPicPr>
            <xdr:cNvPr id="183" name="Grafik 182" hidden="1">
              <a:extLst>
                <a:ext uri="{FF2B5EF4-FFF2-40B4-BE49-F238E27FC236}">
                  <a16:creationId xmlns:a16="http://schemas.microsoft.com/office/drawing/2014/main" id="{00000000-0008-0000-0100-0000B7000000}"/>
                </a:ext>
              </a:extLst>
            </xdr:cNvPr>
            <xdr:cNvPicPr>
              <a:picLocks noChangeAspect="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l="1" r="45190"/>
            <a:stretch/>
          </xdr:blipFill>
          <xdr:spPr>
            <a:xfrm>
              <a:off x="684437" y="531225"/>
              <a:ext cx="125859" cy="227527"/>
            </a:xfrm>
            <a:prstGeom prst="rect">
              <a:avLst/>
            </a:prstGeom>
          </xdr:spPr>
        </xdr:pic>
        <xdr:pic macro="[0]!S_DstGrd_Au">
          <xdr:nvPicPr>
            <xdr:cNvPr id="185" name="Grafik 184" hidden="1">
              <a:extLst>
                <a:ext uri="{FF2B5EF4-FFF2-40B4-BE49-F238E27FC236}">
                  <a16:creationId xmlns:a16="http://schemas.microsoft.com/office/drawing/2014/main" id="{00000000-0008-0000-0100-0000B9000000}"/>
                </a:ext>
              </a:extLst>
            </xdr:cNvPr>
            <xdr:cNvPicPr>
              <a:picLocks noChangeAspect="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l="60695"/>
            <a:stretch/>
          </xdr:blipFill>
          <xdr:spPr>
            <a:xfrm rot="10800000">
              <a:off x="786148" y="531225"/>
              <a:ext cx="90260" cy="227902"/>
            </a:xfrm>
            <a:prstGeom prst="rect">
              <a:avLst/>
            </a:prstGeom>
          </xdr:spPr>
        </xdr:pic>
      </xdr:grpSp>
    </xdr:grpSp>
    <xdr:clientData/>
  </xdr:twoCellAnchor>
  <xdr:twoCellAnchor editAs="absolute">
    <xdr:from>
      <xdr:col>2</xdr:col>
      <xdr:colOff>45196</xdr:colOff>
      <xdr:row>0</xdr:row>
      <xdr:rowOff>515149</xdr:rowOff>
    </xdr:from>
    <xdr:to>
      <xdr:col>2</xdr:col>
      <xdr:colOff>562319</xdr:colOff>
      <xdr:row>2</xdr:row>
      <xdr:rowOff>35676</xdr:rowOff>
    </xdr:to>
    <xdr:grpSp>
      <xdr:nvGrpSpPr>
        <xdr:cNvPr id="192" name="S_Name_Au" hidden="1">
          <a:extLst>
            <a:ext uri="{FF2B5EF4-FFF2-40B4-BE49-F238E27FC236}">
              <a16:creationId xmlns:a16="http://schemas.microsoft.com/office/drawing/2014/main" id="{00000000-0008-0000-0100-0000C0000000}"/>
            </a:ext>
          </a:extLst>
        </xdr:cNvPr>
        <xdr:cNvGrpSpPr/>
      </xdr:nvGrpSpPr>
      <xdr:grpSpPr>
        <a:xfrm>
          <a:off x="930461" y="515149"/>
          <a:ext cx="517123" cy="360968"/>
          <a:chOff x="539544" y="515149"/>
          <a:chExt cx="517123" cy="357654"/>
        </a:xfrm>
      </xdr:grpSpPr>
      <xdr:sp macro="[0]!S_Name_Au" textlink="">
        <xdr:nvSpPr>
          <xdr:cNvPr id="193" name="Rechteck: abgerundete Ecken 192" hidden="1">
            <a:extLst>
              <a:ext uri="{FF2B5EF4-FFF2-40B4-BE49-F238E27FC236}">
                <a16:creationId xmlns:a16="http://schemas.microsoft.com/office/drawing/2014/main" id="{00000000-0008-0000-0100-0000C1000000}"/>
              </a:ext>
            </a:extLst>
          </xdr:cNvPr>
          <xdr:cNvSpPr/>
        </xdr:nvSpPr>
        <xdr:spPr>
          <a:xfrm>
            <a:off x="617434" y="515149"/>
            <a:ext cx="361342" cy="357654"/>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S_Name_Au" textlink="">
        <xdr:nvSpPr>
          <xdr:cNvPr id="194" name="Textfeld 193" hidden="1">
            <a:extLst>
              <a:ext uri="{FF2B5EF4-FFF2-40B4-BE49-F238E27FC236}">
                <a16:creationId xmlns:a16="http://schemas.microsoft.com/office/drawing/2014/main" id="{00000000-0008-0000-0100-0000C2000000}"/>
              </a:ext>
            </a:extLst>
          </xdr:cNvPr>
          <xdr:cNvSpPr txBox="1"/>
        </xdr:nvSpPr>
        <xdr:spPr>
          <a:xfrm>
            <a:off x="539544" y="734418"/>
            <a:ext cx="517123" cy="13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600">
                <a:solidFill>
                  <a:schemeClr val="accent6">
                    <a:lumMod val="75000"/>
                  </a:schemeClr>
                </a:solidFill>
                <a:latin typeface="Arial" panose="020B0604020202020204" pitchFamily="34" charset="0"/>
                <a:cs typeface="Arial" panose="020B0604020202020204" pitchFamily="34" charset="0"/>
              </a:rPr>
              <a:t>Name</a:t>
            </a:r>
          </a:p>
        </xdr:txBody>
      </xdr:sp>
      <xdr:grpSp>
        <xdr:nvGrpSpPr>
          <xdr:cNvPr id="195" name="Gruppieren 194" hidden="1">
            <a:extLst>
              <a:ext uri="{FF2B5EF4-FFF2-40B4-BE49-F238E27FC236}">
                <a16:creationId xmlns:a16="http://schemas.microsoft.com/office/drawing/2014/main" id="{00000000-0008-0000-0100-0000C3000000}"/>
              </a:ext>
            </a:extLst>
          </xdr:cNvPr>
          <xdr:cNvGrpSpPr/>
        </xdr:nvGrpSpPr>
        <xdr:grpSpPr>
          <a:xfrm>
            <a:off x="684437" y="531225"/>
            <a:ext cx="191971" cy="227902"/>
            <a:chOff x="684437" y="531225"/>
            <a:chExt cx="191971" cy="227902"/>
          </a:xfrm>
        </xdr:grpSpPr>
        <xdr:pic macro="[0]!S_Name_Au">
          <xdr:nvPicPr>
            <xdr:cNvPr id="196" name="Grafik 195" hidden="1">
              <a:extLst>
                <a:ext uri="{FF2B5EF4-FFF2-40B4-BE49-F238E27FC236}">
                  <a16:creationId xmlns:a16="http://schemas.microsoft.com/office/drawing/2014/main" id="{00000000-0008-0000-0100-0000C4000000}"/>
                </a:ext>
              </a:extLst>
            </xdr:cNvPr>
            <xdr:cNvPicPr>
              <a:picLocks noChangeAspect="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l="1" r="45190"/>
            <a:stretch/>
          </xdr:blipFill>
          <xdr:spPr>
            <a:xfrm>
              <a:off x="684437" y="531225"/>
              <a:ext cx="125859" cy="227527"/>
            </a:xfrm>
            <a:prstGeom prst="rect">
              <a:avLst/>
            </a:prstGeom>
          </xdr:spPr>
        </xdr:pic>
        <xdr:pic macro="[0]!S_Name_Au">
          <xdr:nvPicPr>
            <xdr:cNvPr id="197" name="Grafik 196" hidden="1">
              <a:extLst>
                <a:ext uri="{FF2B5EF4-FFF2-40B4-BE49-F238E27FC236}">
                  <a16:creationId xmlns:a16="http://schemas.microsoft.com/office/drawing/2014/main" id="{00000000-0008-0000-0100-0000C5000000}"/>
                </a:ext>
              </a:extLst>
            </xdr:cNvPr>
            <xdr:cNvPicPr>
              <a:picLocks noChangeAspect="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l="60695"/>
            <a:stretch/>
          </xdr:blipFill>
          <xdr:spPr>
            <a:xfrm rot="10800000">
              <a:off x="786148" y="531225"/>
              <a:ext cx="90260" cy="227902"/>
            </a:xfrm>
            <a:prstGeom prst="rect">
              <a:avLst/>
            </a:prstGeom>
          </xdr:spPr>
        </xdr:pic>
      </xdr:grpSp>
    </xdr:grpSp>
    <xdr:clientData/>
  </xdr:twoCellAnchor>
  <xdr:twoCellAnchor editAs="absolute">
    <xdr:from>
      <xdr:col>1</xdr:col>
      <xdr:colOff>109130</xdr:colOff>
      <xdr:row>0</xdr:row>
      <xdr:rowOff>628650</xdr:rowOff>
    </xdr:from>
    <xdr:to>
      <xdr:col>1</xdr:col>
      <xdr:colOff>468156</xdr:colOff>
      <xdr:row>2</xdr:row>
      <xdr:rowOff>150450</xdr:rowOff>
    </xdr:to>
    <xdr:grpSp>
      <xdr:nvGrpSpPr>
        <xdr:cNvPr id="56" name="Druck">
          <a:extLst>
            <a:ext uri="{FF2B5EF4-FFF2-40B4-BE49-F238E27FC236}">
              <a16:creationId xmlns:a16="http://schemas.microsoft.com/office/drawing/2014/main" id="{00000000-0008-0000-0100-000038000000}"/>
            </a:ext>
          </a:extLst>
        </xdr:cNvPr>
        <xdr:cNvGrpSpPr/>
      </xdr:nvGrpSpPr>
      <xdr:grpSpPr>
        <a:xfrm>
          <a:off x="109130" y="628650"/>
          <a:ext cx="359026" cy="362241"/>
          <a:chOff x="3978112" y="1274466"/>
          <a:chExt cx="359026" cy="360000"/>
        </a:xfrm>
      </xdr:grpSpPr>
      <xdr:sp macro="[0]!auswahlDrucken" textlink="">
        <xdr:nvSpPr>
          <xdr:cNvPr id="57" name="Rechteck: abgerundete Ecken 171">
            <a:extLst>
              <a:ext uri="{FF2B5EF4-FFF2-40B4-BE49-F238E27FC236}">
                <a16:creationId xmlns:a16="http://schemas.microsoft.com/office/drawing/2014/main" id="{00000000-0008-0000-0100-000039000000}"/>
              </a:ext>
            </a:extLst>
          </xdr:cNvPr>
          <xdr:cNvSpPr/>
        </xdr:nvSpPr>
        <xdr:spPr>
          <a:xfrm>
            <a:off x="3978112" y="1274466"/>
            <a:ext cx="359026" cy="3600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auswahlDrucken">
        <xdr:nvPicPr>
          <xdr:cNvPr id="58" name="Grafik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3"/>
          <a:stretch>
            <a:fillRect/>
          </a:stretch>
        </xdr:blipFill>
        <xdr:spPr>
          <a:xfrm>
            <a:off x="4010025" y="1314450"/>
            <a:ext cx="295200" cy="280032"/>
          </a:xfrm>
          <a:prstGeom prst="rect">
            <a:avLst/>
          </a:prstGeom>
          <a:solidFill>
            <a:schemeClr val="accent6"/>
          </a:solidFill>
        </xdr:spPr>
      </xdr:pic>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1</xdr:col>
      <xdr:colOff>582243</xdr:colOff>
      <xdr:row>0</xdr:row>
      <xdr:rowOff>409575</xdr:rowOff>
    </xdr:from>
    <xdr:to>
      <xdr:col>5</xdr:col>
      <xdr:colOff>767943</xdr:colOff>
      <xdr:row>0</xdr:row>
      <xdr:rowOff>1057275</xdr:rowOff>
    </xdr:to>
    <xdr:grpSp>
      <xdr:nvGrpSpPr>
        <xdr:cNvPr id="5" name="Anlegen_Head">
          <a:extLst>
            <a:ext uri="{FF2B5EF4-FFF2-40B4-BE49-F238E27FC236}">
              <a16:creationId xmlns:a16="http://schemas.microsoft.com/office/drawing/2014/main" id="{00000000-0008-0000-0200-000005000000}"/>
            </a:ext>
          </a:extLst>
        </xdr:cNvPr>
        <xdr:cNvGrpSpPr/>
      </xdr:nvGrpSpPr>
      <xdr:grpSpPr>
        <a:xfrm>
          <a:off x="3735018" y="409575"/>
          <a:ext cx="3348000" cy="647700"/>
          <a:chOff x="4867275" y="5032500"/>
          <a:chExt cx="3348000" cy="647700"/>
        </a:xfrm>
      </xdr:grpSpPr>
      <xdr:sp macro="" textlink="">
        <xdr:nvSpPr>
          <xdr:cNvPr id="6" name="Rechteck: abgerundete Ecken 5">
            <a:extLst>
              <a:ext uri="{FF2B5EF4-FFF2-40B4-BE49-F238E27FC236}">
                <a16:creationId xmlns:a16="http://schemas.microsoft.com/office/drawing/2014/main" id="{00000000-0008-0000-0200-000006000000}"/>
              </a:ext>
            </a:extLst>
          </xdr:cNvPr>
          <xdr:cNvSpPr/>
        </xdr:nvSpPr>
        <xdr:spPr>
          <a:xfrm>
            <a:off x="4867275" y="5032500"/>
            <a:ext cx="3348000"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5524499" y="5194425"/>
            <a:ext cx="21050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100">
                <a:solidFill>
                  <a:schemeClr val="accent6">
                    <a:lumMod val="75000"/>
                  </a:schemeClr>
                </a:solidFill>
                <a:latin typeface="Arial Black" panose="020B0A04020102020204" pitchFamily="34" charset="0"/>
              </a:rPr>
              <a:t>Soldat</a:t>
            </a:r>
            <a:r>
              <a:rPr lang="de-DE" sz="1100" baseline="0">
                <a:solidFill>
                  <a:schemeClr val="accent6">
                    <a:lumMod val="75000"/>
                  </a:schemeClr>
                </a:solidFill>
                <a:latin typeface="Arial Black" panose="020B0A04020102020204" pitchFamily="34" charset="0"/>
              </a:rPr>
              <a:t> anlegen</a:t>
            </a:r>
            <a:endParaRPr lang="de-DE" sz="1100">
              <a:solidFill>
                <a:schemeClr val="accent6">
                  <a:lumMod val="75000"/>
                </a:schemeClr>
              </a:solidFill>
              <a:latin typeface="Arial Black" panose="020B0A04020102020204" pitchFamily="34" charset="0"/>
            </a:endParaRPr>
          </a:p>
        </xdr:txBody>
      </xdr:sp>
      <xdr:pic>
        <xdr:nvPicPr>
          <xdr:cNvPr id="9" name="Grafik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953000" y="5086350"/>
            <a:ext cx="540000" cy="540000"/>
          </a:xfrm>
          <a:prstGeom prst="rect">
            <a:avLst/>
          </a:prstGeom>
        </xdr:spPr>
      </xdr:pic>
    </xdr:grpSp>
    <xdr:clientData/>
  </xdr:twoCellAnchor>
  <xdr:twoCellAnchor editAs="absolute">
    <xdr:from>
      <xdr:col>5</xdr:col>
      <xdr:colOff>333375</xdr:colOff>
      <xdr:row>17</xdr:row>
      <xdr:rowOff>104775</xdr:rowOff>
    </xdr:from>
    <xdr:to>
      <xdr:col>7</xdr:col>
      <xdr:colOff>57150</xdr:colOff>
      <xdr:row>20</xdr:row>
      <xdr:rowOff>152400</xdr:rowOff>
    </xdr:to>
    <xdr:grpSp>
      <xdr:nvGrpSpPr>
        <xdr:cNvPr id="12" name="Speichern">
          <a:extLst>
            <a:ext uri="{FF2B5EF4-FFF2-40B4-BE49-F238E27FC236}">
              <a16:creationId xmlns:a16="http://schemas.microsoft.com/office/drawing/2014/main" id="{00000000-0008-0000-0200-00000C000000}"/>
            </a:ext>
          </a:extLst>
        </xdr:cNvPr>
        <xdr:cNvGrpSpPr/>
      </xdr:nvGrpSpPr>
      <xdr:grpSpPr>
        <a:xfrm>
          <a:off x="6648450" y="5343525"/>
          <a:ext cx="1704975" cy="647700"/>
          <a:chOff x="10315575" y="2905125"/>
          <a:chExt cx="1704975" cy="647700"/>
        </a:xfrm>
      </xdr:grpSpPr>
      <xdr:sp macro="[0]!P_AnlegenSpeichern" textlink="">
        <xdr:nvSpPr>
          <xdr:cNvPr id="13" name="Rechteck: abgerundete Ecken 12">
            <a:extLst>
              <a:ext uri="{FF2B5EF4-FFF2-40B4-BE49-F238E27FC236}">
                <a16:creationId xmlns:a16="http://schemas.microsoft.com/office/drawing/2014/main" id="{00000000-0008-0000-0200-00000D000000}"/>
              </a:ext>
            </a:extLst>
          </xdr:cNvPr>
          <xdr:cNvSpPr/>
        </xdr:nvSpPr>
        <xdr:spPr>
          <a:xfrm>
            <a:off x="10315575" y="2905125"/>
            <a:ext cx="1704975"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P_AnlegenSpeichern" textlink="">
        <xdr:nvSpPr>
          <xdr:cNvPr id="14" name="Textfeld 13">
            <a:extLst>
              <a:ext uri="{FF2B5EF4-FFF2-40B4-BE49-F238E27FC236}">
                <a16:creationId xmlns:a16="http://schemas.microsoft.com/office/drawing/2014/main" id="{00000000-0008-0000-0200-00000E000000}"/>
              </a:ext>
            </a:extLst>
          </xdr:cNvPr>
          <xdr:cNvSpPr txBox="1"/>
        </xdr:nvSpPr>
        <xdr:spPr>
          <a:xfrm>
            <a:off x="10972799" y="3067050"/>
            <a:ext cx="10477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1100">
                <a:solidFill>
                  <a:schemeClr val="accent6">
                    <a:lumMod val="75000"/>
                  </a:schemeClr>
                </a:solidFill>
                <a:latin typeface="Arial Black" panose="020B0A04020102020204" pitchFamily="34" charset="0"/>
              </a:rPr>
              <a:t>Speichern</a:t>
            </a:r>
          </a:p>
        </xdr:txBody>
      </xdr:sp>
      <xdr:pic macro="[0]!P_AnlegenSpeichern">
        <xdr:nvPicPr>
          <xdr:cNvPr id="15" name="Grafik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3"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0458450" y="2990850"/>
            <a:ext cx="476250" cy="476250"/>
          </a:xfrm>
          <a:prstGeom prst="rect">
            <a:avLst/>
          </a:prstGeom>
        </xdr:spPr>
      </xdr:pic>
    </xdr:grpSp>
    <xdr:clientData/>
  </xdr:twoCellAnchor>
  <xdr:twoCellAnchor>
    <xdr:from>
      <xdr:col>0</xdr:col>
      <xdr:colOff>2232431</xdr:colOff>
      <xdr:row>0</xdr:row>
      <xdr:rowOff>123825</xdr:rowOff>
    </xdr:from>
    <xdr:to>
      <xdr:col>7</xdr:col>
      <xdr:colOff>289331</xdr:colOff>
      <xdr:row>21</xdr:row>
      <xdr:rowOff>180975</xdr:rowOff>
    </xdr:to>
    <xdr:sp macro="" textlink="">
      <xdr:nvSpPr>
        <xdr:cNvPr id="2" name="Rechteck 1">
          <a:extLst>
            <a:ext uri="{FF2B5EF4-FFF2-40B4-BE49-F238E27FC236}">
              <a16:creationId xmlns:a16="http://schemas.microsoft.com/office/drawing/2014/main" id="{00000000-0008-0000-0200-000002000000}"/>
            </a:ext>
          </a:extLst>
        </xdr:cNvPr>
        <xdr:cNvSpPr/>
      </xdr:nvSpPr>
      <xdr:spPr>
        <a:xfrm>
          <a:off x="2232431" y="123825"/>
          <a:ext cx="6353175" cy="6096000"/>
        </a:xfrm>
        <a:prstGeom prst="rect">
          <a:avLst/>
        </a:prstGeom>
        <a:noFill/>
        <a:ln w="3492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336306</xdr:colOff>
      <xdr:row>14</xdr:row>
      <xdr:rowOff>142875</xdr:rowOff>
    </xdr:from>
    <xdr:to>
      <xdr:col>7</xdr:col>
      <xdr:colOff>57150</xdr:colOff>
      <xdr:row>17</xdr:row>
      <xdr:rowOff>9525</xdr:rowOff>
    </xdr:to>
    <xdr:grpSp>
      <xdr:nvGrpSpPr>
        <xdr:cNvPr id="11" name="Gruppieren 10">
          <a:extLst>
            <a:ext uri="{FF2B5EF4-FFF2-40B4-BE49-F238E27FC236}">
              <a16:creationId xmlns:a16="http://schemas.microsoft.com/office/drawing/2014/main" id="{00000000-0008-0000-0200-00000B000000}"/>
            </a:ext>
          </a:extLst>
        </xdr:cNvPr>
        <xdr:cNvGrpSpPr/>
      </xdr:nvGrpSpPr>
      <xdr:grpSpPr>
        <a:xfrm>
          <a:off x="6651381" y="4600575"/>
          <a:ext cx="1702044" cy="647700"/>
          <a:chOff x="6196379" y="3738929"/>
          <a:chExt cx="1702044" cy="647700"/>
        </a:xfrm>
      </xdr:grpSpPr>
      <xdr:sp macro="[0]!Abbrechen" textlink="">
        <xdr:nvSpPr>
          <xdr:cNvPr id="16" name="Rechteck: abgerundete Ecken 15">
            <a:extLst>
              <a:ext uri="{FF2B5EF4-FFF2-40B4-BE49-F238E27FC236}">
                <a16:creationId xmlns:a16="http://schemas.microsoft.com/office/drawing/2014/main" id="{00000000-0008-0000-0200-000010000000}"/>
              </a:ext>
            </a:extLst>
          </xdr:cNvPr>
          <xdr:cNvSpPr/>
        </xdr:nvSpPr>
        <xdr:spPr>
          <a:xfrm>
            <a:off x="6196379" y="3738929"/>
            <a:ext cx="1702044"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Abbrechen">
        <xdr:nvPicPr>
          <xdr:cNvPr id="17" name="Grafik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4"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6338189" y="3824654"/>
            <a:ext cx="476250" cy="476250"/>
          </a:xfrm>
          <a:prstGeom prst="rect">
            <a:avLst/>
          </a:prstGeom>
        </xdr:spPr>
      </xdr:pic>
      <xdr:sp macro="[0]!Abbrechen" textlink="">
        <xdr:nvSpPr>
          <xdr:cNvPr id="18" name="Textfeld 17">
            <a:extLst>
              <a:ext uri="{FF2B5EF4-FFF2-40B4-BE49-F238E27FC236}">
                <a16:creationId xmlns:a16="http://schemas.microsoft.com/office/drawing/2014/main" id="{00000000-0008-0000-0200-000012000000}"/>
              </a:ext>
            </a:extLst>
          </xdr:cNvPr>
          <xdr:cNvSpPr txBox="1"/>
        </xdr:nvSpPr>
        <xdr:spPr>
          <a:xfrm>
            <a:off x="6852473" y="3900854"/>
            <a:ext cx="1045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1100">
                <a:solidFill>
                  <a:schemeClr val="accent6">
                    <a:lumMod val="75000"/>
                  </a:schemeClr>
                </a:solidFill>
                <a:latin typeface="Arial Black" panose="020B0A04020102020204" pitchFamily="34" charset="0"/>
              </a:rPr>
              <a:t>Abbrechen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582243</xdr:colOff>
      <xdr:row>0</xdr:row>
      <xdr:rowOff>409575</xdr:rowOff>
    </xdr:from>
    <xdr:to>
      <xdr:col>5</xdr:col>
      <xdr:colOff>767943</xdr:colOff>
      <xdr:row>0</xdr:row>
      <xdr:rowOff>1057275</xdr:rowOff>
    </xdr:to>
    <xdr:sp macro="" textlink="">
      <xdr:nvSpPr>
        <xdr:cNvPr id="3" name="Rechteck: abgerundete Ecken 5">
          <a:extLst>
            <a:ext uri="{FF2B5EF4-FFF2-40B4-BE49-F238E27FC236}">
              <a16:creationId xmlns:a16="http://schemas.microsoft.com/office/drawing/2014/main" id="{00000000-0008-0000-0300-000003000000}"/>
            </a:ext>
          </a:extLst>
        </xdr:cNvPr>
        <xdr:cNvSpPr/>
      </xdr:nvSpPr>
      <xdr:spPr>
        <a:xfrm>
          <a:off x="3735018" y="409575"/>
          <a:ext cx="3348000"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1</xdr:col>
      <xdr:colOff>1239467</xdr:colOff>
      <xdr:row>0</xdr:row>
      <xdr:rowOff>571500</xdr:rowOff>
    </xdr:from>
    <xdr:to>
      <xdr:col>5</xdr:col>
      <xdr:colOff>182193</xdr:colOff>
      <xdr:row>0</xdr:row>
      <xdr:rowOff>895350</xdr:rowOff>
    </xdr:to>
    <xdr:sp macro="" textlink="">
      <xdr:nvSpPr>
        <xdr:cNvPr id="4" name="Textfeld 3">
          <a:extLst>
            <a:ext uri="{FF2B5EF4-FFF2-40B4-BE49-F238E27FC236}">
              <a16:creationId xmlns:a16="http://schemas.microsoft.com/office/drawing/2014/main" id="{00000000-0008-0000-0300-000004000000}"/>
            </a:ext>
          </a:extLst>
        </xdr:cNvPr>
        <xdr:cNvSpPr txBox="1"/>
      </xdr:nvSpPr>
      <xdr:spPr>
        <a:xfrm>
          <a:off x="4392242" y="571500"/>
          <a:ext cx="21050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100">
              <a:solidFill>
                <a:schemeClr val="accent6">
                  <a:lumMod val="75000"/>
                </a:schemeClr>
              </a:solidFill>
              <a:latin typeface="Arial Black" panose="020B0A04020102020204" pitchFamily="34" charset="0"/>
            </a:rPr>
            <a:t>Soldat</a:t>
          </a:r>
          <a:r>
            <a:rPr lang="de-DE" sz="1100" baseline="0">
              <a:solidFill>
                <a:schemeClr val="accent6">
                  <a:lumMod val="75000"/>
                </a:schemeClr>
              </a:solidFill>
              <a:latin typeface="Arial Black" panose="020B0A04020102020204" pitchFamily="34" charset="0"/>
            </a:rPr>
            <a:t> bearbeiten</a:t>
          </a:r>
          <a:endParaRPr lang="de-DE" sz="1100">
            <a:solidFill>
              <a:schemeClr val="accent6">
                <a:lumMod val="75000"/>
              </a:schemeClr>
            </a:solidFill>
            <a:latin typeface="Arial Black" panose="020B0A04020102020204" pitchFamily="34" charset="0"/>
          </a:endParaRPr>
        </a:p>
      </xdr:txBody>
    </xdr:sp>
    <xdr:clientData/>
  </xdr:twoCellAnchor>
  <xdr:twoCellAnchor editAs="absolute">
    <xdr:from>
      <xdr:col>5</xdr:col>
      <xdr:colOff>333375</xdr:colOff>
      <xdr:row>17</xdr:row>
      <xdr:rowOff>104775</xdr:rowOff>
    </xdr:from>
    <xdr:to>
      <xdr:col>7</xdr:col>
      <xdr:colOff>57150</xdr:colOff>
      <xdr:row>20</xdr:row>
      <xdr:rowOff>152400</xdr:rowOff>
    </xdr:to>
    <xdr:grpSp>
      <xdr:nvGrpSpPr>
        <xdr:cNvPr id="6" name="Speichern">
          <a:extLst>
            <a:ext uri="{FF2B5EF4-FFF2-40B4-BE49-F238E27FC236}">
              <a16:creationId xmlns:a16="http://schemas.microsoft.com/office/drawing/2014/main" id="{00000000-0008-0000-0300-000006000000}"/>
            </a:ext>
          </a:extLst>
        </xdr:cNvPr>
        <xdr:cNvGrpSpPr/>
      </xdr:nvGrpSpPr>
      <xdr:grpSpPr>
        <a:xfrm>
          <a:off x="6648450" y="5343525"/>
          <a:ext cx="1704975" cy="647700"/>
          <a:chOff x="10315575" y="2905125"/>
          <a:chExt cx="1704975" cy="647700"/>
        </a:xfrm>
      </xdr:grpSpPr>
      <xdr:sp macro="[0]!P_BearbeitenSpeichern" textlink="">
        <xdr:nvSpPr>
          <xdr:cNvPr id="7" name="Rechteck: abgerundete Ecken 12">
            <a:extLst>
              <a:ext uri="{FF2B5EF4-FFF2-40B4-BE49-F238E27FC236}">
                <a16:creationId xmlns:a16="http://schemas.microsoft.com/office/drawing/2014/main" id="{00000000-0008-0000-0300-000007000000}"/>
              </a:ext>
            </a:extLst>
          </xdr:cNvPr>
          <xdr:cNvSpPr/>
        </xdr:nvSpPr>
        <xdr:spPr>
          <a:xfrm>
            <a:off x="10315575" y="2905125"/>
            <a:ext cx="1704975"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P_BearbeitenSpeichern" textlink="">
        <xdr:nvSpPr>
          <xdr:cNvPr id="8" name="Textfeld 7">
            <a:extLst>
              <a:ext uri="{FF2B5EF4-FFF2-40B4-BE49-F238E27FC236}">
                <a16:creationId xmlns:a16="http://schemas.microsoft.com/office/drawing/2014/main" id="{00000000-0008-0000-0300-000008000000}"/>
              </a:ext>
            </a:extLst>
          </xdr:cNvPr>
          <xdr:cNvSpPr txBox="1"/>
        </xdr:nvSpPr>
        <xdr:spPr>
          <a:xfrm>
            <a:off x="10972799" y="3067050"/>
            <a:ext cx="10477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1100">
                <a:solidFill>
                  <a:schemeClr val="accent6">
                    <a:lumMod val="75000"/>
                  </a:schemeClr>
                </a:solidFill>
                <a:latin typeface="Arial Black" panose="020B0A04020102020204" pitchFamily="34" charset="0"/>
              </a:rPr>
              <a:t>Speichern</a:t>
            </a:r>
          </a:p>
        </xdr:txBody>
      </xdr:sp>
      <xdr:pic macro="[0]!P_BearbeitenSpeichern">
        <xdr:nvPicPr>
          <xdr:cNvPr id="9" name="Grafik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0458450" y="2990850"/>
            <a:ext cx="476250" cy="476250"/>
          </a:xfrm>
          <a:prstGeom prst="rect">
            <a:avLst/>
          </a:prstGeom>
        </xdr:spPr>
      </xdr:pic>
    </xdr:grpSp>
    <xdr:clientData/>
  </xdr:twoCellAnchor>
  <xdr:twoCellAnchor>
    <xdr:from>
      <xdr:col>0</xdr:col>
      <xdr:colOff>2232431</xdr:colOff>
      <xdr:row>0</xdr:row>
      <xdr:rowOff>123825</xdr:rowOff>
    </xdr:from>
    <xdr:to>
      <xdr:col>7</xdr:col>
      <xdr:colOff>289331</xdr:colOff>
      <xdr:row>21</xdr:row>
      <xdr:rowOff>180975</xdr:rowOff>
    </xdr:to>
    <xdr:sp macro="" textlink="">
      <xdr:nvSpPr>
        <xdr:cNvPr id="10" name="Rechteck 9">
          <a:extLst>
            <a:ext uri="{FF2B5EF4-FFF2-40B4-BE49-F238E27FC236}">
              <a16:creationId xmlns:a16="http://schemas.microsoft.com/office/drawing/2014/main" id="{00000000-0008-0000-0300-00000A000000}"/>
            </a:ext>
          </a:extLst>
        </xdr:cNvPr>
        <xdr:cNvSpPr/>
      </xdr:nvSpPr>
      <xdr:spPr>
        <a:xfrm>
          <a:off x="2232431" y="123825"/>
          <a:ext cx="6353175" cy="6096000"/>
        </a:xfrm>
        <a:prstGeom prst="rect">
          <a:avLst/>
        </a:prstGeom>
        <a:noFill/>
        <a:ln w="3492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336306</xdr:colOff>
      <xdr:row>14</xdr:row>
      <xdr:rowOff>142875</xdr:rowOff>
    </xdr:from>
    <xdr:to>
      <xdr:col>7</xdr:col>
      <xdr:colOff>57150</xdr:colOff>
      <xdr:row>17</xdr:row>
      <xdr:rowOff>9525</xdr:rowOff>
    </xdr:to>
    <xdr:grpSp>
      <xdr:nvGrpSpPr>
        <xdr:cNvPr id="11" name="Gruppieren 10">
          <a:extLst>
            <a:ext uri="{FF2B5EF4-FFF2-40B4-BE49-F238E27FC236}">
              <a16:creationId xmlns:a16="http://schemas.microsoft.com/office/drawing/2014/main" id="{00000000-0008-0000-0300-00000B000000}"/>
            </a:ext>
          </a:extLst>
        </xdr:cNvPr>
        <xdr:cNvGrpSpPr/>
      </xdr:nvGrpSpPr>
      <xdr:grpSpPr>
        <a:xfrm>
          <a:off x="6651381" y="4600575"/>
          <a:ext cx="1702044" cy="647700"/>
          <a:chOff x="6196379" y="3738929"/>
          <a:chExt cx="1702044" cy="647700"/>
        </a:xfrm>
      </xdr:grpSpPr>
      <xdr:sp macro="[0]!Abbrechen" textlink="">
        <xdr:nvSpPr>
          <xdr:cNvPr id="12" name="Rechteck: abgerundete Ecken 15">
            <a:extLst>
              <a:ext uri="{FF2B5EF4-FFF2-40B4-BE49-F238E27FC236}">
                <a16:creationId xmlns:a16="http://schemas.microsoft.com/office/drawing/2014/main" id="{00000000-0008-0000-0300-00000C000000}"/>
              </a:ext>
            </a:extLst>
          </xdr:cNvPr>
          <xdr:cNvSpPr/>
        </xdr:nvSpPr>
        <xdr:spPr>
          <a:xfrm>
            <a:off x="6196379" y="3738929"/>
            <a:ext cx="1702044" cy="64770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Abbrechen">
        <xdr:nvPicPr>
          <xdr:cNvPr id="13" name="Grafik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6338189" y="3824654"/>
            <a:ext cx="476250" cy="476250"/>
          </a:xfrm>
          <a:prstGeom prst="rect">
            <a:avLst/>
          </a:prstGeom>
        </xdr:spPr>
      </xdr:pic>
      <xdr:sp macro="[0]!Abbrechen" textlink="">
        <xdr:nvSpPr>
          <xdr:cNvPr id="14" name="Textfeld 13">
            <a:extLst>
              <a:ext uri="{FF2B5EF4-FFF2-40B4-BE49-F238E27FC236}">
                <a16:creationId xmlns:a16="http://schemas.microsoft.com/office/drawing/2014/main" id="{00000000-0008-0000-0300-00000E000000}"/>
              </a:ext>
            </a:extLst>
          </xdr:cNvPr>
          <xdr:cNvSpPr txBox="1"/>
        </xdr:nvSpPr>
        <xdr:spPr>
          <a:xfrm>
            <a:off x="6852473" y="3900854"/>
            <a:ext cx="1045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1100">
                <a:solidFill>
                  <a:schemeClr val="accent6">
                    <a:lumMod val="75000"/>
                  </a:schemeClr>
                </a:solidFill>
                <a:latin typeface="Arial Black" panose="020B0A04020102020204" pitchFamily="34" charset="0"/>
              </a:rPr>
              <a:t>Abbrechen</a:t>
            </a:r>
          </a:p>
        </xdr:txBody>
      </xdr:sp>
    </xdr:grpSp>
    <xdr:clientData/>
  </xdr:twoCellAnchor>
  <xdr:twoCellAnchor>
    <xdr:from>
      <xdr:col>1</xdr:col>
      <xdr:colOff>665500</xdr:colOff>
      <xdr:row>0</xdr:row>
      <xdr:rowOff>463425</xdr:rowOff>
    </xdr:from>
    <xdr:to>
      <xdr:col>1</xdr:col>
      <xdr:colOff>1207968</xdr:colOff>
      <xdr:row>0</xdr:row>
      <xdr:rowOff>1003425</xdr:rowOff>
    </xdr:to>
    <xdr:pic>
      <xdr:nvPicPr>
        <xdr:cNvPr id="15" name="Grafik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email">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818275" y="463425"/>
          <a:ext cx="542468" cy="540000"/>
        </a:xfrm>
        <a:prstGeom prst="rect">
          <a:avLst/>
        </a:prstGeom>
        <a:noFill/>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HA" xr10:uid="{00000000-0013-0000-FFFF-FFFF01000000}" sourceName="HA">
  <extLst>
    <x:ext xmlns:x15="http://schemas.microsoft.com/office/spreadsheetml/2010/11/main" uri="{2F2917AC-EB37-4324-AD4E-5DD8C200BD13}">
      <x15:tableSlicerCache tableId="1" column="37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esse" xr10:uid="{00000000-0013-0000-FFFF-FFFF02000000}" sourceName="Messe">
  <extLst>
    <x:ext xmlns:x15="http://schemas.microsoft.com/office/spreadsheetml/2010/11/main" uri="{2F2917AC-EB37-4324-AD4E-5DD8C200BD13}">
      <x15:tableSlicerCache tableId="1" column="37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_Hauptabschnitt" xr10:uid="{00000000-0014-0000-FFFF-FFFF01000000}" cache="Datenschnitt_HA" caption="HA" lockedPosition="1" rowHeight="257175"/>
  <slicer name="F_Messe" xr10:uid="{00000000-0014-0000-FFFF-FFFF02000000}" cache="Datenschnitt_Messe" caption="Messe" lockedPosition="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e1" displayName="Tabelle1" ref="A7:NJ11" totalsRowCount="1" dataDxfId="2303">
  <autoFilter ref="A7:NJ10"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filterColumn colId="200" hiddenButton="1"/>
    <filterColumn colId="201" hiddenButton="1"/>
    <filterColumn colId="202" hiddenButton="1"/>
    <filterColumn colId="203" hiddenButton="1"/>
    <filterColumn colId="204" hiddenButton="1"/>
    <filterColumn colId="205" hiddenButton="1"/>
    <filterColumn colId="206" hiddenButton="1"/>
    <filterColumn colId="207" hiddenButton="1"/>
    <filterColumn colId="208" hiddenButton="1"/>
    <filterColumn colId="209" hiddenButton="1"/>
    <filterColumn colId="210" hiddenButton="1"/>
    <filterColumn colId="211" hiddenButton="1"/>
    <filterColumn colId="212" hiddenButton="1"/>
    <filterColumn colId="213" hiddenButton="1"/>
    <filterColumn colId="214" hiddenButton="1"/>
    <filterColumn colId="215" hiddenButton="1"/>
    <filterColumn colId="216" hiddenButton="1"/>
    <filterColumn colId="217" hiddenButton="1"/>
    <filterColumn colId="218" hiddenButton="1"/>
    <filterColumn colId="219" hiddenButton="1"/>
    <filterColumn colId="220" hiddenButton="1"/>
    <filterColumn colId="221" hiddenButton="1"/>
    <filterColumn colId="222" hiddenButton="1"/>
    <filterColumn colId="223" hiddenButton="1"/>
    <filterColumn colId="224" hiddenButton="1"/>
    <filterColumn colId="225" hiddenButton="1"/>
    <filterColumn colId="226" hiddenButton="1"/>
    <filterColumn colId="227" hiddenButton="1"/>
    <filterColumn colId="228" hiddenButton="1"/>
    <filterColumn colId="229" hiddenButton="1"/>
    <filterColumn colId="230" hiddenButton="1"/>
    <filterColumn colId="231" hiddenButton="1"/>
    <filterColumn colId="232" hiddenButton="1"/>
    <filterColumn colId="233" hiddenButton="1"/>
    <filterColumn colId="234" hiddenButton="1"/>
    <filterColumn colId="235" hiddenButton="1"/>
    <filterColumn colId="236" hiddenButton="1"/>
    <filterColumn colId="237" hiddenButton="1"/>
    <filterColumn colId="238" hiddenButton="1"/>
    <filterColumn colId="239" hiddenButton="1"/>
    <filterColumn colId="240" hiddenButton="1"/>
    <filterColumn colId="241" hiddenButton="1"/>
    <filterColumn colId="242" hiddenButton="1"/>
    <filterColumn colId="243" hiddenButton="1"/>
    <filterColumn colId="244" hiddenButton="1"/>
    <filterColumn colId="245" hiddenButton="1"/>
    <filterColumn colId="246" hiddenButton="1"/>
    <filterColumn colId="247" hiddenButton="1"/>
    <filterColumn colId="248" hiddenButton="1"/>
    <filterColumn colId="249" hiddenButton="1"/>
    <filterColumn colId="250" hiddenButton="1"/>
    <filterColumn colId="251" hiddenButton="1"/>
    <filterColumn colId="252" hiddenButton="1"/>
    <filterColumn colId="253" hiddenButton="1"/>
    <filterColumn colId="254" hiddenButton="1"/>
    <filterColumn colId="255" hiddenButton="1"/>
    <filterColumn colId="256" hiddenButton="1"/>
    <filterColumn colId="257" hiddenButton="1"/>
    <filterColumn colId="258" hiddenButton="1"/>
    <filterColumn colId="259" hiddenButton="1"/>
    <filterColumn colId="260" hiddenButton="1"/>
    <filterColumn colId="261" hiddenButton="1"/>
    <filterColumn colId="262" hiddenButton="1"/>
    <filterColumn colId="263" hiddenButton="1"/>
    <filterColumn colId="264" hiddenButton="1"/>
    <filterColumn colId="265" hiddenButton="1"/>
    <filterColumn colId="266" hiddenButton="1"/>
    <filterColumn colId="267" hiddenButton="1"/>
    <filterColumn colId="268" hiddenButton="1"/>
    <filterColumn colId="269" hiddenButton="1"/>
    <filterColumn colId="270" hiddenButton="1"/>
    <filterColumn colId="271" hiddenButton="1"/>
    <filterColumn colId="272" hiddenButton="1"/>
    <filterColumn colId="273" hiddenButton="1"/>
    <filterColumn colId="274" hiddenButton="1"/>
    <filterColumn colId="275" hiddenButton="1"/>
    <filterColumn colId="276" hiddenButton="1"/>
    <filterColumn colId="277" hiddenButton="1"/>
    <filterColumn colId="278" hiddenButton="1"/>
    <filterColumn colId="279" hiddenButton="1"/>
    <filterColumn colId="280" hiddenButton="1"/>
    <filterColumn colId="281" hiddenButton="1"/>
    <filterColumn colId="282" hiddenButton="1"/>
    <filterColumn colId="283" hiddenButton="1"/>
    <filterColumn colId="284" hiddenButton="1"/>
    <filterColumn colId="285" hiddenButton="1"/>
    <filterColumn colId="286" hiddenButton="1"/>
    <filterColumn colId="287" hiddenButton="1"/>
    <filterColumn colId="288" hiddenButton="1"/>
    <filterColumn colId="289" hiddenButton="1"/>
    <filterColumn colId="290" hiddenButton="1"/>
    <filterColumn colId="291" hiddenButton="1"/>
    <filterColumn colId="292" hiddenButton="1"/>
    <filterColumn colId="293" hiddenButton="1"/>
    <filterColumn colId="294" hiddenButton="1"/>
    <filterColumn colId="295" hiddenButton="1"/>
    <filterColumn colId="296" hiddenButton="1"/>
    <filterColumn colId="297" hiddenButton="1"/>
    <filterColumn colId="298" hiddenButton="1"/>
    <filterColumn colId="299" hiddenButton="1"/>
    <filterColumn colId="300" hiddenButton="1"/>
    <filterColumn colId="301" hiddenButton="1"/>
    <filterColumn colId="302" hiddenButton="1"/>
    <filterColumn colId="303" hiddenButton="1"/>
    <filterColumn colId="304" hiddenButton="1"/>
    <filterColumn colId="305" hiddenButton="1"/>
    <filterColumn colId="306" hiddenButton="1"/>
    <filterColumn colId="307" hiddenButton="1"/>
    <filterColumn colId="308" hiddenButton="1"/>
    <filterColumn colId="309" hiddenButton="1"/>
    <filterColumn colId="310" hiddenButton="1"/>
    <filterColumn colId="311" hiddenButton="1"/>
    <filterColumn colId="312" hiddenButton="1"/>
    <filterColumn colId="313" hiddenButton="1"/>
    <filterColumn colId="314" hiddenButton="1"/>
    <filterColumn colId="315" hiddenButton="1"/>
    <filterColumn colId="316" hiddenButton="1"/>
    <filterColumn colId="317" hiddenButton="1"/>
    <filterColumn colId="318" hiddenButton="1"/>
    <filterColumn colId="319" hiddenButton="1"/>
    <filterColumn colId="320" hiddenButton="1"/>
    <filterColumn colId="321" hiddenButton="1"/>
    <filterColumn colId="322" hiddenButton="1"/>
    <filterColumn colId="323" hiddenButton="1"/>
    <filterColumn colId="324" hiddenButton="1"/>
    <filterColumn colId="325" hiddenButton="1"/>
    <filterColumn colId="326" hiddenButton="1"/>
    <filterColumn colId="327" hiddenButton="1"/>
    <filterColumn colId="328" hiddenButton="1"/>
    <filterColumn colId="329" hiddenButton="1"/>
    <filterColumn colId="330" hiddenButton="1"/>
    <filterColumn colId="331" hiddenButton="1"/>
    <filterColumn colId="332" hiddenButton="1"/>
    <filterColumn colId="333" hiddenButton="1"/>
    <filterColumn colId="334" hiddenButton="1"/>
    <filterColumn colId="335" hiddenButton="1"/>
    <filterColumn colId="336" hiddenButton="1"/>
    <filterColumn colId="337" hiddenButton="1"/>
    <filterColumn colId="338" hiddenButton="1"/>
    <filterColumn colId="339" hiddenButton="1"/>
    <filterColumn colId="340" hiddenButton="1"/>
    <filterColumn colId="341" hiddenButton="1"/>
    <filterColumn colId="342" hiddenButton="1"/>
    <filterColumn colId="343" hiddenButton="1"/>
    <filterColumn colId="344" hiddenButton="1"/>
    <filterColumn colId="345" hiddenButton="1"/>
    <filterColumn colId="346" hiddenButton="1"/>
    <filterColumn colId="347" hiddenButton="1"/>
    <filterColumn colId="348" hiddenButton="1"/>
    <filterColumn colId="349" hiddenButton="1"/>
    <filterColumn colId="350" hiddenButton="1"/>
    <filterColumn colId="351" hiddenButton="1"/>
    <filterColumn colId="352" hiddenButton="1"/>
    <filterColumn colId="353" hiddenButton="1"/>
    <filterColumn colId="354" hiddenButton="1"/>
    <filterColumn colId="355" hiddenButton="1"/>
    <filterColumn colId="356" hiddenButton="1"/>
    <filterColumn colId="357" hiddenButton="1"/>
    <filterColumn colId="358" hiddenButton="1"/>
    <filterColumn colId="359" hiddenButton="1"/>
    <filterColumn colId="360" hiddenButton="1"/>
    <filterColumn colId="361" hiddenButton="1"/>
    <filterColumn colId="362" hiddenButton="1"/>
    <filterColumn colId="363" hiddenButton="1"/>
    <filterColumn colId="364" hiddenButton="1"/>
    <filterColumn colId="365" hiddenButton="1"/>
    <filterColumn colId="366" hiddenButton="1"/>
    <filterColumn colId="367" hiddenButton="1"/>
    <filterColumn colId="368" hiddenButton="1"/>
    <filterColumn colId="369" hiddenButton="1"/>
    <filterColumn colId="370" hiddenButton="1"/>
    <filterColumn colId="371" hiddenButton="1"/>
    <filterColumn colId="372" hiddenButton="1"/>
    <filterColumn colId="373" hiddenButton="1"/>
  </autoFilter>
  <sortState xmlns:xlrd2="http://schemas.microsoft.com/office/spreadsheetml/2017/richdata2" ref="A8:NJ10">
    <sortCondition ref="B8:B10" customList="KKpt,KptLt,OLtzS,LtzS,OFähnrzS,FähnrzS,StBtsm,HptBtsm,OBtsm,Btsm,OMt,Mt,StKorp,Korp,OStGefr,StGefr,HptGefr,OGefr,Gefr,Matr"/>
    <sortCondition ref="C8:C10"/>
  </sortState>
  <tableColumns count="374">
    <tableColumn id="377" xr3:uid="{00000000-0010-0000-0000-000079010000}" name="ID" totalsRowLabel="Ergebnis" dataDxfId="2302" totalsRowDxfId="373"/>
    <tableColumn id="1" xr3:uid="{00000000-0010-0000-0000-000001000000}" name="DG" totalsRowLabel="Gesamt:" dataDxfId="2301" totalsRowDxfId="372"/>
    <tableColumn id="2" xr3:uid="{00000000-0010-0000-0000-000002000000}" name="Name" totalsRowFunction="custom" dataDxfId="2300" totalsRowDxfId="371">
      <totalsRowFormula>COUNTA(Tabelle1[Name])-1</totalsRowFormula>
    </tableColumn>
    <tableColumn id="374" xr3:uid="{00000000-0010-0000-0000-000076010000}" name="Vorname" dataDxfId="2299" totalsRowDxfId="370"/>
    <tableColumn id="3" xr3:uid="{00000000-0010-0000-0000-000003000000}" name="U" dataDxfId="2298" totalsRowDxfId="369"/>
    <tableColumn id="4" xr3:uid="{00000000-0010-0000-0000-000004000000}" name="U übrig" dataDxfId="2297" totalsRowDxfId="368">
      <calculatedColumnFormula>Tabelle1[[#This Row],[U]]-COUNTIF(Tabelle1[[#This Row],[Spalte3]:[Spalte368]],"U")</calculatedColumnFormula>
    </tableColumn>
    <tableColumn id="5" xr3:uid="{00000000-0010-0000-0000-000005000000}" name="Spalte3" totalsRowFunction="custom" dataDxfId="2296" totalsRowDxfId="367">
      <totalsRowFormula>IF(IF(AND(G4&lt;=TODAY(),G5&lt;&gt;"Sa",G5&lt;&gt;"So"),COUNTIF(Tabelle1[Spalte3],"A"),IF(AND(G5&lt;&gt;"Sa",G5&lt;&gt;"So"),COUNTIF(Tabelle1[Spalte3],"")-1,""))&lt;0,0,IF(AND(G4&lt;=TODAY(),G5&lt;&gt;"Sa",G5&lt;&gt;"So"),COUNTIF(Tabelle1[Spalte3],"A"),IF(AND(G5&lt;&gt;"Sa",G5&lt;&gt;"So"),COUNTIF(Tabelle1[Spalte3],"")-1,"")))</totalsRowFormula>
    </tableColumn>
    <tableColumn id="6" xr3:uid="{00000000-0010-0000-0000-000006000000}" name="Spalte4" totalsRowFunction="custom" dataDxfId="2295" totalsRowDxfId="366">
      <totalsRowFormula>IF(IF(AND(H4&lt;=TODAY(),H5&lt;&gt;"Sa",H5&lt;&gt;"So"),COUNTIF(Tabelle1[Spalte4],"A"),IF(AND(H5&lt;&gt;"Sa",H5&lt;&gt;"So"),COUNTIF(Tabelle1[Spalte4],"")-1,""))&lt;0,0,IF(AND(H4&lt;=TODAY(),H5&lt;&gt;"Sa",H5&lt;&gt;"So"),COUNTIF(Tabelle1[Spalte4],"A"),IF(AND(H5&lt;&gt;"Sa",H5&lt;&gt;"So"),COUNTIF(Tabelle1[Spalte4],"")-1,"")))</totalsRowFormula>
    </tableColumn>
    <tableColumn id="7" xr3:uid="{00000000-0010-0000-0000-000007000000}" name="Spalte5" totalsRowFunction="custom" dataDxfId="2294" totalsRowDxfId="365">
      <totalsRowFormula>IF(IF(AND(I4&lt;=TODAY(),I5&lt;&gt;"Sa",I5&lt;&gt;"So"),COUNTIF(Tabelle1[Spalte5],"A"),IF(AND(I5&lt;&gt;"Sa",I5&lt;&gt;"So"),COUNTIF(Tabelle1[Spalte5],"")-1,""))&lt;0,0,IF(AND(I4&lt;=TODAY(),I5&lt;&gt;"Sa",I5&lt;&gt;"So"),COUNTIF(Tabelle1[Spalte5],"A"),IF(AND(I5&lt;&gt;"Sa",I5&lt;&gt;"So"),COUNTIF(Tabelle1[Spalte5],"")-1,"")))</totalsRowFormula>
    </tableColumn>
    <tableColumn id="8" xr3:uid="{00000000-0010-0000-0000-000008000000}" name="Spalte6" totalsRowFunction="custom" dataDxfId="2293" totalsRowDxfId="364">
      <totalsRowFormula>IF(IF(AND(J4&lt;=TODAY(),J5&lt;&gt;"Sa",J5&lt;&gt;"So"),COUNTIF(Tabelle1[Spalte6],"A"),IF(AND(J5&lt;&gt;"Sa",J5&lt;&gt;"So"),COUNTIF(Tabelle1[Spalte6],"")-1,""))&lt;0,0,IF(AND(J4&lt;=TODAY(),J5&lt;&gt;"Sa",J5&lt;&gt;"So"),COUNTIF(Tabelle1[Spalte6],"A"),IF(AND(J5&lt;&gt;"Sa",J5&lt;&gt;"So"),COUNTIF(Tabelle1[Spalte6],"")-1,"")))</totalsRowFormula>
    </tableColumn>
    <tableColumn id="9" xr3:uid="{00000000-0010-0000-0000-000009000000}" name="Spalte7" totalsRowFunction="custom" dataDxfId="2292" totalsRowDxfId="363">
      <totalsRowFormula>IF(IF(AND(K4&lt;=TODAY(),K5&lt;&gt;"Sa",K5&lt;&gt;"So"),COUNTIF(Tabelle1[Spalte7],"A"),IF(AND(K5&lt;&gt;"Sa",K5&lt;&gt;"So"),COUNTIF(Tabelle1[Spalte7],"")-1,""))&lt;0,0,IF(AND(K4&lt;=TODAY(),K5&lt;&gt;"Sa",K5&lt;&gt;"So"),COUNTIF(Tabelle1[Spalte7],"A"),IF(AND(K5&lt;&gt;"Sa",K5&lt;&gt;"So"),COUNTIF(Tabelle1[Spalte7],"")-1,"")))</totalsRowFormula>
    </tableColumn>
    <tableColumn id="10" xr3:uid="{00000000-0010-0000-0000-00000A000000}" name="Spalte8" totalsRowFunction="custom" dataDxfId="2291" totalsRowDxfId="362">
      <totalsRowFormula>IF(IF(AND(L4&lt;=TODAY(),L5&lt;&gt;"Sa",L5&lt;&gt;"So"),COUNTIF(Tabelle1[Spalte8],"A"),IF(AND(L5&lt;&gt;"Sa",L5&lt;&gt;"So"),COUNTIF(Tabelle1[Spalte8],"")-1,""))&lt;0,0,IF(AND(L4&lt;=TODAY(),L5&lt;&gt;"Sa",L5&lt;&gt;"So"),COUNTIF(Tabelle1[Spalte8],"A"),IF(AND(L5&lt;&gt;"Sa",L5&lt;&gt;"So"),COUNTIF(Tabelle1[Spalte8],"")-1,"")))</totalsRowFormula>
    </tableColumn>
    <tableColumn id="11" xr3:uid="{00000000-0010-0000-0000-00000B000000}" name="Spalte9" totalsRowFunction="custom" dataDxfId="2290" totalsRowDxfId="361">
      <totalsRowFormula>IF(IF(AND(M4&lt;=TODAY(),M5&lt;&gt;"Sa",M5&lt;&gt;"So"),COUNTIF(Tabelle1[Spalte9],"A"),IF(AND(M5&lt;&gt;"Sa",M5&lt;&gt;"So"),COUNTIF(Tabelle1[Spalte9],"")-1,""))&lt;0,0,IF(AND(M4&lt;=TODAY(),M5&lt;&gt;"Sa",M5&lt;&gt;"So"),COUNTIF(Tabelle1[Spalte9],"A"),IF(AND(M5&lt;&gt;"Sa",M5&lt;&gt;"So"),COUNTIF(Tabelle1[Spalte9],"")-1,"")))</totalsRowFormula>
    </tableColumn>
    <tableColumn id="12" xr3:uid="{00000000-0010-0000-0000-00000C000000}" name="Spalte10" totalsRowFunction="custom" dataDxfId="2289" totalsRowDxfId="360">
      <totalsRowFormula>IF(IF(AND(N4&lt;=TODAY(),N5&lt;&gt;"Sa",N5&lt;&gt;"So"),COUNTIF(Tabelle1[Spalte10],"A"),IF(AND(N5&lt;&gt;"Sa",N5&lt;&gt;"So"),COUNTIF(Tabelle1[Spalte10],"")-1,""))&lt;0,0,IF(AND(N4&lt;=TODAY(),N5&lt;&gt;"Sa",N5&lt;&gt;"So"),COUNTIF(Tabelle1[Spalte10],"A"),IF(AND(N5&lt;&gt;"Sa",N5&lt;&gt;"So"),COUNTIF(Tabelle1[Spalte10],"")-1,"")))</totalsRowFormula>
    </tableColumn>
    <tableColumn id="13" xr3:uid="{00000000-0010-0000-0000-00000D000000}" name="Spalte11" totalsRowFunction="custom" dataDxfId="2288" totalsRowDxfId="359">
      <totalsRowFormula>IF(IF(AND(O4&lt;=TODAY(),O5&lt;&gt;"Sa",O5&lt;&gt;"So"),COUNTIF(Tabelle1[Spalte11],"A"),IF(AND(O5&lt;&gt;"Sa",O5&lt;&gt;"So"),COUNTIF(Tabelle1[Spalte11],"")-1,""))&lt;0,0,IF(AND(O4&lt;=TODAY(),O5&lt;&gt;"Sa",O5&lt;&gt;"So"),COUNTIF(Tabelle1[Spalte11],"A"),IF(AND(O5&lt;&gt;"Sa",O5&lt;&gt;"So"),COUNTIF(Tabelle1[Spalte11],"")-1,"")))</totalsRowFormula>
    </tableColumn>
    <tableColumn id="14" xr3:uid="{00000000-0010-0000-0000-00000E000000}" name="Spalte12" totalsRowFunction="custom" dataDxfId="2287" totalsRowDxfId="358">
      <totalsRowFormula>IF(IF(AND(P4&lt;=TODAY(),P5&lt;&gt;"Sa",P5&lt;&gt;"So"),COUNTIF(Tabelle1[Spalte12],"A"),IF(AND(P5&lt;&gt;"Sa",P5&lt;&gt;"So"),COUNTIF(Tabelle1[Spalte12],"")-1,""))&lt;0,0,IF(AND(P4&lt;=TODAY(),P5&lt;&gt;"Sa",P5&lt;&gt;"So"),COUNTIF(Tabelle1[Spalte12],"A"),IF(AND(P5&lt;&gt;"Sa",P5&lt;&gt;"So"),COUNTIF(Tabelle1[Spalte12],"")-1,"")))</totalsRowFormula>
    </tableColumn>
    <tableColumn id="15" xr3:uid="{00000000-0010-0000-0000-00000F000000}" name="Spalte13" totalsRowFunction="custom" dataDxfId="2286" totalsRowDxfId="357">
      <totalsRowFormula>IF(IF(AND(Q4&lt;=TODAY(),Q5&lt;&gt;"Sa",Q5&lt;&gt;"So"),COUNTIF(Tabelle1[Spalte13],"A"),IF(AND(Q5&lt;&gt;"Sa",Q5&lt;&gt;"So"),COUNTIF(Tabelle1[Spalte13],"")-1,""))&lt;0,0,IF(AND(Q4&lt;=TODAY(),Q5&lt;&gt;"Sa",Q5&lt;&gt;"So"),COUNTIF(Tabelle1[Spalte13],"A"),IF(AND(Q5&lt;&gt;"Sa",Q5&lt;&gt;"So"),COUNTIF(Tabelle1[Spalte13],"")-1,"")))</totalsRowFormula>
    </tableColumn>
    <tableColumn id="16" xr3:uid="{00000000-0010-0000-0000-000010000000}" name="Spalte14" totalsRowFunction="custom" dataDxfId="2285" totalsRowDxfId="356">
      <totalsRowFormula>IF(IF(AND(R4&lt;=TODAY(),R5&lt;&gt;"Sa",R5&lt;&gt;"So"),COUNTIF(Tabelle1[Spalte14],"A"),IF(AND(R5&lt;&gt;"Sa",R5&lt;&gt;"So"),COUNTIF(Tabelle1[Spalte14],"")-1,""))&lt;0,0,IF(AND(R4&lt;=TODAY(),R5&lt;&gt;"Sa",R5&lt;&gt;"So"),COUNTIF(Tabelle1[Spalte14],"A"),IF(AND(R5&lt;&gt;"Sa",R5&lt;&gt;"So"),COUNTIF(Tabelle1[Spalte14],"")-1,"")))</totalsRowFormula>
    </tableColumn>
    <tableColumn id="17" xr3:uid="{00000000-0010-0000-0000-000011000000}" name="Spalte15" totalsRowFunction="custom" dataDxfId="2284" totalsRowDxfId="355">
      <totalsRowFormula>IF(IF(AND(S4&lt;=TODAY(),S5&lt;&gt;"Sa",S5&lt;&gt;"So"),COUNTIF(Tabelle1[Spalte15],"A"),IF(AND(S5&lt;&gt;"Sa",S5&lt;&gt;"So"),COUNTIF(Tabelle1[Spalte15],"")-1,""))&lt;0,0,IF(AND(S4&lt;=TODAY(),S5&lt;&gt;"Sa",S5&lt;&gt;"So"),COUNTIF(Tabelle1[Spalte15],"A"),IF(AND(S5&lt;&gt;"Sa",S5&lt;&gt;"So"),COUNTIF(Tabelle1[Spalte15],"")-1,"")))</totalsRowFormula>
    </tableColumn>
    <tableColumn id="18" xr3:uid="{00000000-0010-0000-0000-000012000000}" name="Spalte16" totalsRowFunction="custom" dataDxfId="2283" totalsRowDxfId="354">
      <totalsRowFormula>IF(IF(AND(T4&lt;=TODAY(),T5&lt;&gt;"Sa",T5&lt;&gt;"So"),COUNTIF(Tabelle1[Spalte16],"A"),IF(AND(T5&lt;&gt;"Sa",T5&lt;&gt;"So"),COUNTIF(Tabelle1[Spalte16],"")-1,""))&lt;0,0,IF(AND(T4&lt;=TODAY(),T5&lt;&gt;"Sa",T5&lt;&gt;"So"),COUNTIF(Tabelle1[Spalte16],"A"),IF(AND(T5&lt;&gt;"Sa",T5&lt;&gt;"So"),COUNTIF(Tabelle1[Spalte16],"")-1,"")))</totalsRowFormula>
    </tableColumn>
    <tableColumn id="19" xr3:uid="{00000000-0010-0000-0000-000013000000}" name="Spalte17" totalsRowFunction="custom" dataDxfId="2282" totalsRowDxfId="353">
      <totalsRowFormula>IF(IF(AND(U4&lt;=TODAY(),U5&lt;&gt;"Sa",U5&lt;&gt;"So"),COUNTIF(Tabelle1[Spalte17],"A"),IF(AND(U5&lt;&gt;"Sa",U5&lt;&gt;"So"),COUNTIF(Tabelle1[Spalte17],"")-1,""))&lt;0,0,IF(AND(U4&lt;=TODAY(),U5&lt;&gt;"Sa",U5&lt;&gt;"So"),COUNTIF(Tabelle1[Spalte17],"A"),IF(AND(U5&lt;&gt;"Sa",U5&lt;&gt;"So"),COUNTIF(Tabelle1[Spalte17],"")-1,"")))</totalsRowFormula>
    </tableColumn>
    <tableColumn id="20" xr3:uid="{00000000-0010-0000-0000-000014000000}" name="Spalte18" totalsRowFunction="custom" dataDxfId="2281" totalsRowDxfId="352">
      <totalsRowFormula>IF(IF(AND(V4&lt;=TODAY(),V5&lt;&gt;"Sa",V5&lt;&gt;"So"),COUNTIF(Tabelle1[Spalte18],"A"),IF(AND(V5&lt;&gt;"Sa",V5&lt;&gt;"So"),COUNTIF(Tabelle1[Spalte18],"")-1,""))&lt;0,0,IF(AND(V4&lt;=TODAY(),V5&lt;&gt;"Sa",V5&lt;&gt;"So"),COUNTIF(Tabelle1[Spalte18],"A"),IF(AND(V5&lt;&gt;"Sa",V5&lt;&gt;"So"),COUNTIF(Tabelle1[Spalte18],"")-1,"")))</totalsRowFormula>
    </tableColumn>
    <tableColumn id="21" xr3:uid="{00000000-0010-0000-0000-000015000000}" name="Spalte19" totalsRowFunction="custom" dataDxfId="2280" totalsRowDxfId="351">
      <totalsRowFormula>IF(IF(AND(W4&lt;=TODAY(),W5&lt;&gt;"Sa",W5&lt;&gt;"So"),COUNTIF(Tabelle1[Spalte19],"A"),IF(AND(W5&lt;&gt;"Sa",W5&lt;&gt;"So"),COUNTIF(Tabelle1[Spalte19],"")-1,""))&lt;0,0,IF(AND(W4&lt;=TODAY(),W5&lt;&gt;"Sa",W5&lt;&gt;"So"),COUNTIF(Tabelle1[Spalte19],"A"),IF(AND(W5&lt;&gt;"Sa",W5&lt;&gt;"So"),COUNTIF(Tabelle1[Spalte19],"")-1,"")))</totalsRowFormula>
    </tableColumn>
    <tableColumn id="22" xr3:uid="{00000000-0010-0000-0000-000016000000}" name="Spalte20" totalsRowFunction="custom" dataDxfId="2279" totalsRowDxfId="350">
      <totalsRowFormula>IF(IF(AND(X4&lt;=TODAY(),X5&lt;&gt;"Sa",X5&lt;&gt;"So"),COUNTIF(Tabelle1[Spalte20],"A"),IF(AND(X5&lt;&gt;"Sa",X5&lt;&gt;"So"),COUNTIF(Tabelle1[Spalte20],"")-1,""))&lt;0,0,IF(AND(X4&lt;=TODAY(),X5&lt;&gt;"Sa",X5&lt;&gt;"So"),COUNTIF(Tabelle1[Spalte20],"A"),IF(AND(X5&lt;&gt;"Sa",X5&lt;&gt;"So"),COUNTIF(Tabelle1[Spalte20],"")-1,"")))</totalsRowFormula>
    </tableColumn>
    <tableColumn id="23" xr3:uid="{00000000-0010-0000-0000-000017000000}" name="Spalte21" totalsRowFunction="custom" dataDxfId="2278" totalsRowDxfId="349">
      <totalsRowFormula>IF(IF(AND(Y4&lt;=TODAY(),Y5&lt;&gt;"Sa",Y5&lt;&gt;"So"),COUNTIF(Tabelle1[Spalte21],"A"),IF(AND(Y5&lt;&gt;"Sa",Y5&lt;&gt;"So"),COUNTIF(Tabelle1[Spalte21],"")-1,""))&lt;0,0,IF(AND(Y4&lt;=TODAY(),Y5&lt;&gt;"Sa",Y5&lt;&gt;"So"),COUNTIF(Tabelle1[Spalte21],"A"),IF(AND(Y5&lt;&gt;"Sa",Y5&lt;&gt;"So"),COUNTIF(Tabelle1[Spalte21],"")-1,"")))</totalsRowFormula>
    </tableColumn>
    <tableColumn id="24" xr3:uid="{00000000-0010-0000-0000-000018000000}" name="Spalte22" totalsRowFunction="custom" dataDxfId="2277" totalsRowDxfId="348">
      <totalsRowFormula>IF(IF(AND(Z4&lt;=TODAY(),Z5&lt;&gt;"Sa",Z5&lt;&gt;"So"),COUNTIF(Tabelle1[Spalte22],"A"),IF(AND(Z5&lt;&gt;"Sa",Z5&lt;&gt;"So"),COUNTIF(Tabelle1[Spalte22],"")-1,""))&lt;0,0,IF(AND(Z4&lt;=TODAY(),Z5&lt;&gt;"Sa",Z5&lt;&gt;"So"),COUNTIF(Tabelle1[Spalte22],"A"),IF(AND(Z5&lt;&gt;"Sa",Z5&lt;&gt;"So"),COUNTIF(Tabelle1[Spalte22],"")-1,"")))</totalsRowFormula>
    </tableColumn>
    <tableColumn id="25" xr3:uid="{00000000-0010-0000-0000-000019000000}" name="Spalte23" totalsRowFunction="custom" dataDxfId="2276" totalsRowDxfId="347">
      <totalsRowFormula>IF(IF(AND(AA4&lt;=TODAY(),AA5&lt;&gt;"Sa",AA5&lt;&gt;"So"),COUNTIF(Tabelle1[Spalte23],"A"),IF(AND(AA5&lt;&gt;"Sa",AA5&lt;&gt;"So"),COUNTIF(Tabelle1[Spalte23],"")-1,""))&lt;0,0,IF(AND(AA4&lt;=TODAY(),AA5&lt;&gt;"Sa",AA5&lt;&gt;"So"),COUNTIF(Tabelle1[Spalte23],"A"),IF(AND(AA5&lt;&gt;"Sa",AA5&lt;&gt;"So"),COUNTIF(Tabelle1[Spalte23],"")-1,"")))</totalsRowFormula>
    </tableColumn>
    <tableColumn id="26" xr3:uid="{00000000-0010-0000-0000-00001A000000}" name="Spalte24" totalsRowFunction="custom" dataDxfId="2275" totalsRowDxfId="346">
      <totalsRowFormula>IF(IF(AND(AB4&lt;=TODAY(),AB5&lt;&gt;"Sa",AB5&lt;&gt;"So"),COUNTIF(Tabelle1[Spalte24],"A"),IF(AND(AB5&lt;&gt;"Sa",AB5&lt;&gt;"So"),COUNTIF(Tabelle1[Spalte24],"")-1,""))&lt;0,0,IF(AND(AB4&lt;=TODAY(),AB5&lt;&gt;"Sa",AB5&lt;&gt;"So"),COUNTIF(Tabelle1[Spalte24],"A"),IF(AND(AB5&lt;&gt;"Sa",AB5&lt;&gt;"So"),COUNTIF(Tabelle1[Spalte24],"")-1,"")))</totalsRowFormula>
    </tableColumn>
    <tableColumn id="27" xr3:uid="{00000000-0010-0000-0000-00001B000000}" name="Spalte25" totalsRowFunction="custom" dataDxfId="2274" totalsRowDxfId="345">
      <totalsRowFormula>IF(IF(AND(AC4&lt;=TODAY(),AC5&lt;&gt;"Sa",AC5&lt;&gt;"So"),COUNTIF(Tabelle1[Spalte25],"A"),IF(AND(AC5&lt;&gt;"Sa",AC5&lt;&gt;"So"),COUNTIF(Tabelle1[Spalte25],"")-1,""))&lt;0,0,IF(AND(AC4&lt;=TODAY(),AC5&lt;&gt;"Sa",AC5&lt;&gt;"So"),COUNTIF(Tabelle1[Spalte25],"A"),IF(AND(AC5&lt;&gt;"Sa",AC5&lt;&gt;"So"),COUNTIF(Tabelle1[Spalte25],"")-1,"")))</totalsRowFormula>
    </tableColumn>
    <tableColumn id="28" xr3:uid="{00000000-0010-0000-0000-00001C000000}" name="Spalte26" totalsRowFunction="custom" dataDxfId="2273" totalsRowDxfId="344">
      <totalsRowFormula>IF(IF(AND(AD4&lt;=TODAY(),AD5&lt;&gt;"Sa",AD5&lt;&gt;"So"),COUNTIF(Tabelle1[Spalte26],"A"),IF(AND(AD5&lt;&gt;"Sa",AD5&lt;&gt;"So"),COUNTIF(Tabelle1[Spalte26],"")-1,""))&lt;0,0,IF(AND(AD4&lt;=TODAY(),AD5&lt;&gt;"Sa",AD5&lt;&gt;"So"),COUNTIF(Tabelle1[Spalte26],"A"),IF(AND(AD5&lt;&gt;"Sa",AD5&lt;&gt;"So"),COUNTIF(Tabelle1[Spalte26],"")-1,"")))</totalsRowFormula>
    </tableColumn>
    <tableColumn id="29" xr3:uid="{00000000-0010-0000-0000-00001D000000}" name="Spalte27" totalsRowFunction="custom" dataDxfId="2272" totalsRowDxfId="343">
      <totalsRowFormula>IF(IF(AND(AE4&lt;=TODAY(),AE5&lt;&gt;"Sa",AE5&lt;&gt;"So"),COUNTIF(Tabelle1[Spalte27],"A"),IF(AND(AE5&lt;&gt;"Sa",AE5&lt;&gt;"So"),COUNTIF(Tabelle1[Spalte27],"")-1,""))&lt;0,0,IF(AND(AE4&lt;=TODAY(),AE5&lt;&gt;"Sa",AE5&lt;&gt;"So"),COUNTIF(Tabelle1[Spalte27],"A"),IF(AND(AE5&lt;&gt;"Sa",AE5&lt;&gt;"So"),COUNTIF(Tabelle1[Spalte27],"")-1,"")))</totalsRowFormula>
    </tableColumn>
    <tableColumn id="30" xr3:uid="{00000000-0010-0000-0000-00001E000000}" name="Spalte28" totalsRowFunction="custom" dataDxfId="2271" totalsRowDxfId="342">
      <totalsRowFormula>IF(IF(AND(AF4&lt;=TODAY(),AF5&lt;&gt;"Sa",AF5&lt;&gt;"So"),COUNTIF(Tabelle1[Spalte28],"A"),IF(AND(AF5&lt;&gt;"Sa",AF5&lt;&gt;"So"),COUNTIF(Tabelle1[Spalte28],"")-1,""))&lt;0,0,IF(AND(AF4&lt;=TODAY(),AF5&lt;&gt;"Sa",AF5&lt;&gt;"So"),COUNTIF(Tabelle1[Spalte28],"A"),IF(AND(AF5&lt;&gt;"Sa",AF5&lt;&gt;"So"),COUNTIF(Tabelle1[Spalte28],"")-1,"")))</totalsRowFormula>
    </tableColumn>
    <tableColumn id="31" xr3:uid="{00000000-0010-0000-0000-00001F000000}" name="Spalte29" totalsRowFunction="custom" dataDxfId="2270" totalsRowDxfId="341">
      <totalsRowFormula>IF(IF(AND(AG4&lt;=TODAY(),AG5&lt;&gt;"Sa",AG5&lt;&gt;"So"),COUNTIF(Tabelle1[Spalte29],"A"),IF(AND(AG5&lt;&gt;"Sa",AG5&lt;&gt;"So"),COUNTIF(Tabelle1[Spalte29],"")-1,""))&lt;0,0,IF(AND(AG4&lt;=TODAY(),AG5&lt;&gt;"Sa",AG5&lt;&gt;"So"),COUNTIF(Tabelle1[Spalte29],"A"),IF(AND(AG5&lt;&gt;"Sa",AG5&lt;&gt;"So"),COUNTIF(Tabelle1[Spalte29],"")-1,"")))</totalsRowFormula>
    </tableColumn>
    <tableColumn id="32" xr3:uid="{00000000-0010-0000-0000-000020000000}" name="Spalte30" totalsRowFunction="custom" dataDxfId="2269" totalsRowDxfId="340">
      <totalsRowFormula>IF(IF(AND(AH4&lt;=TODAY(),AH5&lt;&gt;"Sa",AH5&lt;&gt;"So"),COUNTIF(Tabelle1[Spalte30],"A"),IF(AND(AH5&lt;&gt;"Sa",AH5&lt;&gt;"So"),COUNTIF(Tabelle1[Spalte30],"")-1,""))&lt;0,0,IF(AND(AH4&lt;=TODAY(),AH5&lt;&gt;"Sa",AH5&lt;&gt;"So"),COUNTIF(Tabelle1[Spalte30],"A"),IF(AND(AH5&lt;&gt;"Sa",AH5&lt;&gt;"So"),COUNTIF(Tabelle1[Spalte30],"")-1,"")))</totalsRowFormula>
    </tableColumn>
    <tableColumn id="33" xr3:uid="{00000000-0010-0000-0000-000021000000}" name="Spalte31" totalsRowFunction="custom" dataDxfId="2268" totalsRowDxfId="339">
      <totalsRowFormula>IF(IF(AND(AI4&lt;=TODAY(),AI5&lt;&gt;"Sa",AI5&lt;&gt;"So"),COUNTIF(Tabelle1[Spalte31],"A"),IF(AND(AI5&lt;&gt;"Sa",AI5&lt;&gt;"So"),COUNTIF(Tabelle1[Spalte31],"")-1,""))&lt;0,0,IF(AND(AI4&lt;=TODAY(),AI5&lt;&gt;"Sa",AI5&lt;&gt;"So"),COUNTIF(Tabelle1[Spalte31],"A"),IF(AND(AI5&lt;&gt;"Sa",AI5&lt;&gt;"So"),COUNTIF(Tabelle1[Spalte31],"")-1,"")))</totalsRowFormula>
    </tableColumn>
    <tableColumn id="34" xr3:uid="{00000000-0010-0000-0000-000022000000}" name="Spalte32" totalsRowFunction="custom" dataDxfId="2267" totalsRowDxfId="338">
      <totalsRowFormula>IF(IF(AND(AJ4&lt;=TODAY(),AJ5&lt;&gt;"Sa",AJ5&lt;&gt;"So"),COUNTIF(Tabelle1[Spalte32],"A"),IF(AND(AJ5&lt;&gt;"Sa",AJ5&lt;&gt;"So"),COUNTIF(Tabelle1[Spalte32],"")-1,""))&lt;0,0,IF(AND(AJ4&lt;=TODAY(),AJ5&lt;&gt;"Sa",AJ5&lt;&gt;"So"),COUNTIF(Tabelle1[Spalte32],"A"),IF(AND(AJ5&lt;&gt;"Sa",AJ5&lt;&gt;"So"),COUNTIF(Tabelle1[Spalte32],"")-1,"")))</totalsRowFormula>
    </tableColumn>
    <tableColumn id="35" xr3:uid="{00000000-0010-0000-0000-000023000000}" name="Spalte33" totalsRowFunction="custom" dataDxfId="2266" totalsRowDxfId="337">
      <totalsRowFormula>IF(IF(AND(AK4&lt;=TODAY(),AK5&lt;&gt;"Sa",AK5&lt;&gt;"So"),COUNTIF(Tabelle1[Spalte33],"A"),IF(AND(AK5&lt;&gt;"Sa",AK5&lt;&gt;"So"),COUNTIF(Tabelle1[Spalte33],"")-1,""))&lt;0,0,IF(AND(AK4&lt;=TODAY(),AK5&lt;&gt;"Sa",AK5&lt;&gt;"So"),COUNTIF(Tabelle1[Spalte33],"A"),IF(AND(AK5&lt;&gt;"Sa",AK5&lt;&gt;"So"),COUNTIF(Tabelle1[Spalte33],"")-1,"")))</totalsRowFormula>
    </tableColumn>
    <tableColumn id="36" xr3:uid="{00000000-0010-0000-0000-000024000000}" name="Spalte34" totalsRowFunction="custom" dataDxfId="2265" totalsRowDxfId="336">
      <totalsRowFormula>IF(IF(AND(AL4&lt;=TODAY(),AL5&lt;&gt;"Sa",AL5&lt;&gt;"So"),COUNTIF(Tabelle1[Spalte34],"A"),IF(AND(AL5&lt;&gt;"Sa",AL5&lt;&gt;"So"),COUNTIF(Tabelle1[Spalte34],"")-1,""))&lt;0,0,IF(AND(AL4&lt;=TODAY(),AL5&lt;&gt;"Sa",AL5&lt;&gt;"So"),COUNTIF(Tabelle1[Spalte34],"A"),IF(AND(AL5&lt;&gt;"Sa",AL5&lt;&gt;"So"),COUNTIF(Tabelle1[Spalte34],"")-1,"")))</totalsRowFormula>
    </tableColumn>
    <tableColumn id="37" xr3:uid="{00000000-0010-0000-0000-000025000000}" name="Spalte35" totalsRowFunction="custom" dataDxfId="2264" totalsRowDxfId="335">
      <totalsRowFormula>IF(IF(AND(AM4&lt;=TODAY(),AM5&lt;&gt;"Sa",AM5&lt;&gt;"So"),COUNTIF(Tabelle1[Spalte35],"A"),IF(AND(AM5&lt;&gt;"Sa",AM5&lt;&gt;"So"),COUNTIF(Tabelle1[Spalte35],"")-1,""))&lt;0,0,IF(AND(AM4&lt;=TODAY(),AM5&lt;&gt;"Sa",AM5&lt;&gt;"So"),COUNTIF(Tabelle1[Spalte35],"A"),IF(AND(AM5&lt;&gt;"Sa",AM5&lt;&gt;"So"),COUNTIF(Tabelle1[Spalte35],"")-1,"")))</totalsRowFormula>
    </tableColumn>
    <tableColumn id="38" xr3:uid="{00000000-0010-0000-0000-000026000000}" name="Spalte36" totalsRowFunction="custom" dataDxfId="2263" totalsRowDxfId="334">
      <totalsRowFormula>IF(IF(AND(AN4&lt;=TODAY(),AN5&lt;&gt;"Sa",AN5&lt;&gt;"So"),COUNTIF(Tabelle1[Spalte36],"A"),IF(AND(AN5&lt;&gt;"Sa",AN5&lt;&gt;"So"),COUNTIF(Tabelle1[Spalte36],"")-1,""))&lt;0,0,IF(AND(AN4&lt;=TODAY(),AN5&lt;&gt;"Sa",AN5&lt;&gt;"So"),COUNTIF(Tabelle1[Spalte36],"A"),IF(AND(AN5&lt;&gt;"Sa",AN5&lt;&gt;"So"),COUNTIF(Tabelle1[Spalte36],"")-1,"")))</totalsRowFormula>
    </tableColumn>
    <tableColumn id="39" xr3:uid="{00000000-0010-0000-0000-000027000000}" name="Spalte37" totalsRowFunction="custom" dataDxfId="2262" totalsRowDxfId="333">
      <totalsRowFormula>IF(IF(AND(AO4&lt;=TODAY(),AO5&lt;&gt;"Sa",AO5&lt;&gt;"So"),COUNTIF(Tabelle1[Spalte37],"A"),IF(AND(AO5&lt;&gt;"Sa",AO5&lt;&gt;"So"),COUNTIF(Tabelle1[Spalte37],"")-1,""))&lt;0,0,IF(AND(AO4&lt;=TODAY(),AO5&lt;&gt;"Sa",AO5&lt;&gt;"So"),COUNTIF(Tabelle1[Spalte37],"A"),IF(AND(AO5&lt;&gt;"Sa",AO5&lt;&gt;"So"),COUNTIF(Tabelle1[Spalte37],"")-1,"")))</totalsRowFormula>
    </tableColumn>
    <tableColumn id="40" xr3:uid="{00000000-0010-0000-0000-000028000000}" name="Spalte38" totalsRowFunction="custom" dataDxfId="2261" totalsRowDxfId="332">
      <totalsRowFormula>IF(IF(AND(AP4&lt;=TODAY(),AP5&lt;&gt;"Sa",AP5&lt;&gt;"So"),COUNTIF(Tabelle1[Spalte38],"A"),IF(AND(AP5&lt;&gt;"Sa",AP5&lt;&gt;"So"),COUNTIF(Tabelle1[Spalte38],"")-1,""))&lt;0,0,IF(AND(AP4&lt;=TODAY(),AP5&lt;&gt;"Sa",AP5&lt;&gt;"So"),COUNTIF(Tabelle1[Spalte38],"A"),IF(AND(AP5&lt;&gt;"Sa",AP5&lt;&gt;"So"),COUNTIF(Tabelle1[Spalte38],"")-1,"")))</totalsRowFormula>
    </tableColumn>
    <tableColumn id="41" xr3:uid="{00000000-0010-0000-0000-000029000000}" name="Spalte39" totalsRowFunction="custom" dataDxfId="2260" totalsRowDxfId="331">
      <totalsRowFormula>IF(IF(AND(AQ4&lt;=TODAY(),AQ5&lt;&gt;"Sa",AQ5&lt;&gt;"So"),COUNTIF(Tabelle1[Spalte39],"A"),IF(AND(AQ5&lt;&gt;"Sa",AQ5&lt;&gt;"So"),COUNTIF(Tabelle1[Spalte39],"")-1,""))&lt;0,0,IF(AND(AQ4&lt;=TODAY(),AQ5&lt;&gt;"Sa",AQ5&lt;&gt;"So"),COUNTIF(Tabelle1[Spalte39],"A"),IF(AND(AQ5&lt;&gt;"Sa",AQ5&lt;&gt;"So"),COUNTIF(Tabelle1[Spalte39],"")-1,"")))</totalsRowFormula>
    </tableColumn>
    <tableColumn id="42" xr3:uid="{00000000-0010-0000-0000-00002A000000}" name="Spalte40" totalsRowFunction="custom" dataDxfId="2259" totalsRowDxfId="330">
      <totalsRowFormula>IF(IF(AND(AR4&lt;=TODAY(),AR5&lt;&gt;"Sa",AR5&lt;&gt;"So"),COUNTIF(Tabelle1[Spalte40],"A"),IF(AND(AR5&lt;&gt;"Sa",AR5&lt;&gt;"So"),COUNTIF(Tabelle1[Spalte40],"")-1,""))&lt;0,0,IF(AND(AR4&lt;=TODAY(),AR5&lt;&gt;"Sa",AR5&lt;&gt;"So"),COUNTIF(Tabelle1[Spalte40],"A"),IF(AND(AR5&lt;&gt;"Sa",AR5&lt;&gt;"So"),COUNTIF(Tabelle1[Spalte40],"")-1,"")))</totalsRowFormula>
    </tableColumn>
    <tableColumn id="43" xr3:uid="{00000000-0010-0000-0000-00002B000000}" name="Spalte41" totalsRowFunction="custom" dataDxfId="2258" totalsRowDxfId="329">
      <totalsRowFormula>IF(IF(AND(AS4&lt;=TODAY(),AS5&lt;&gt;"Sa",AS5&lt;&gt;"So"),COUNTIF(Tabelle1[Spalte41],"A"),IF(AND(AS5&lt;&gt;"Sa",AS5&lt;&gt;"So"),COUNTIF(Tabelle1[Spalte41],"")-1,""))&lt;0,0,IF(AND(AS4&lt;=TODAY(),AS5&lt;&gt;"Sa",AS5&lt;&gt;"So"),COUNTIF(Tabelle1[Spalte41],"A"),IF(AND(AS5&lt;&gt;"Sa",AS5&lt;&gt;"So"),COUNTIF(Tabelle1[Spalte41],"")-1,"")))</totalsRowFormula>
    </tableColumn>
    <tableColumn id="44" xr3:uid="{00000000-0010-0000-0000-00002C000000}" name="Spalte42" totalsRowFunction="custom" dataDxfId="2257" totalsRowDxfId="328">
      <totalsRowFormula>IF(IF(AND(AT4&lt;=TODAY(),AT5&lt;&gt;"Sa",AT5&lt;&gt;"So"),COUNTIF(Tabelle1[Spalte42],"A"),IF(AND(AT5&lt;&gt;"Sa",AT5&lt;&gt;"So"),COUNTIF(Tabelle1[Spalte42],"")-1,""))&lt;0,0,IF(AND(AT4&lt;=TODAY(),AT5&lt;&gt;"Sa",AT5&lt;&gt;"So"),COUNTIF(Tabelle1[Spalte42],"A"),IF(AND(AT5&lt;&gt;"Sa",AT5&lt;&gt;"So"),COUNTIF(Tabelle1[Spalte42],"")-1,"")))</totalsRowFormula>
    </tableColumn>
    <tableColumn id="45" xr3:uid="{00000000-0010-0000-0000-00002D000000}" name="Spalte43" totalsRowFunction="custom" dataDxfId="2256" totalsRowDxfId="327">
      <totalsRowFormula>IF(IF(AND(AU4&lt;=TODAY(),AU5&lt;&gt;"Sa",AU5&lt;&gt;"So"),COUNTIF(Tabelle1[Spalte43],"A"),IF(AND(AU5&lt;&gt;"Sa",AU5&lt;&gt;"So"),COUNTIF(Tabelle1[Spalte43],"")-1,""))&lt;0,0,IF(AND(AU4&lt;=TODAY(),AU5&lt;&gt;"Sa",AU5&lt;&gt;"So"),COUNTIF(Tabelle1[Spalte43],"A"),IF(AND(AU5&lt;&gt;"Sa",AU5&lt;&gt;"So"),COUNTIF(Tabelle1[Spalte43],"")-1,"")))</totalsRowFormula>
    </tableColumn>
    <tableColumn id="46" xr3:uid="{00000000-0010-0000-0000-00002E000000}" name="Spalte44" totalsRowFunction="custom" dataDxfId="2255" totalsRowDxfId="326">
      <totalsRowFormula>IF(IF(AND(AV4&lt;=TODAY(),AV5&lt;&gt;"Sa",AV5&lt;&gt;"So"),COUNTIF(Tabelle1[Spalte44],"A"),IF(AND(AV5&lt;&gt;"Sa",AV5&lt;&gt;"So"),COUNTIF(Tabelle1[Spalte44],"")-1,""))&lt;0,0,IF(AND(AV4&lt;=TODAY(),AV5&lt;&gt;"Sa",AV5&lt;&gt;"So"),COUNTIF(Tabelle1[Spalte44],"A"),IF(AND(AV5&lt;&gt;"Sa",AV5&lt;&gt;"So"),COUNTIF(Tabelle1[Spalte44],"")-1,"")))</totalsRowFormula>
    </tableColumn>
    <tableColumn id="47" xr3:uid="{00000000-0010-0000-0000-00002F000000}" name="Spalte45" totalsRowFunction="custom" dataDxfId="2254" totalsRowDxfId="325">
      <totalsRowFormula>IF(IF(AND(AW4&lt;=TODAY(),AW5&lt;&gt;"Sa",AW5&lt;&gt;"So"),COUNTIF(Tabelle1[Spalte45],"A"),IF(AND(AW5&lt;&gt;"Sa",AW5&lt;&gt;"So"),COUNTIF(Tabelle1[Spalte45],"")-1,""))&lt;0,0,IF(AND(AW4&lt;=TODAY(),AW5&lt;&gt;"Sa",AW5&lt;&gt;"So"),COUNTIF(Tabelle1[Spalte45],"A"),IF(AND(AW5&lt;&gt;"Sa",AW5&lt;&gt;"So"),COUNTIF(Tabelle1[Spalte45],"")-1,"")))</totalsRowFormula>
    </tableColumn>
    <tableColumn id="48" xr3:uid="{00000000-0010-0000-0000-000030000000}" name="Spalte46" totalsRowFunction="custom" dataDxfId="2253" totalsRowDxfId="324">
      <totalsRowFormula>IF(IF(AND(AX4&lt;=TODAY(),AX5&lt;&gt;"Sa",AX5&lt;&gt;"So"),COUNTIF(Tabelle1[Spalte46],"A"),IF(AND(AX5&lt;&gt;"Sa",AX5&lt;&gt;"So"),COUNTIF(Tabelle1[Spalte46],"")-1,""))&lt;0,0,IF(AND(AX4&lt;=TODAY(),AX5&lt;&gt;"Sa",AX5&lt;&gt;"So"),COUNTIF(Tabelle1[Spalte46],"A"),IF(AND(AX5&lt;&gt;"Sa",AX5&lt;&gt;"So"),COUNTIF(Tabelle1[Spalte46],"")-1,"")))</totalsRowFormula>
    </tableColumn>
    <tableColumn id="49" xr3:uid="{00000000-0010-0000-0000-000031000000}" name="Spalte47" totalsRowFunction="custom" dataDxfId="2252" totalsRowDxfId="323">
      <totalsRowFormula>IF(IF(AND(AY4&lt;=TODAY(),AY5&lt;&gt;"Sa",AY5&lt;&gt;"So"),COUNTIF(Tabelle1[Spalte47],"A"),IF(AND(AY5&lt;&gt;"Sa",AY5&lt;&gt;"So"),COUNTIF(Tabelle1[Spalte47],"")-1,""))&lt;0,0,IF(AND(AY4&lt;=TODAY(),AY5&lt;&gt;"Sa",AY5&lt;&gt;"So"),COUNTIF(Tabelle1[Spalte47],"A"),IF(AND(AY5&lt;&gt;"Sa",AY5&lt;&gt;"So"),COUNTIF(Tabelle1[Spalte47],"")-1,"")))</totalsRowFormula>
    </tableColumn>
    <tableColumn id="50" xr3:uid="{00000000-0010-0000-0000-000032000000}" name="Spalte48" totalsRowFunction="custom" dataDxfId="2251" totalsRowDxfId="322">
      <totalsRowFormula>IF(IF(AND(AZ4&lt;=TODAY(),AZ5&lt;&gt;"Sa",AZ5&lt;&gt;"So"),COUNTIF(Tabelle1[Spalte48],"A"),IF(AND(AZ5&lt;&gt;"Sa",AZ5&lt;&gt;"So"),COUNTIF(Tabelle1[Spalte48],"")-1,""))&lt;0,0,IF(AND(AZ4&lt;=TODAY(),AZ5&lt;&gt;"Sa",AZ5&lt;&gt;"So"),COUNTIF(Tabelle1[Spalte48],"A"),IF(AND(AZ5&lt;&gt;"Sa",AZ5&lt;&gt;"So"),COUNTIF(Tabelle1[Spalte48],"")-1,"")))</totalsRowFormula>
    </tableColumn>
    <tableColumn id="51" xr3:uid="{00000000-0010-0000-0000-000033000000}" name="Spalte49" totalsRowFunction="custom" dataDxfId="2250" totalsRowDxfId="321">
      <totalsRowFormula>IF(IF(AND(BA4&lt;=TODAY(),BA5&lt;&gt;"Sa",BA5&lt;&gt;"So"),COUNTIF(Tabelle1[Spalte49],"A"),IF(AND(BA5&lt;&gt;"Sa",BA5&lt;&gt;"So"),COUNTIF(Tabelle1[Spalte49],"")-1,""))&lt;0,0,IF(AND(BA4&lt;=TODAY(),BA5&lt;&gt;"Sa",BA5&lt;&gt;"So"),COUNTIF(Tabelle1[Spalte49],"A"),IF(AND(BA5&lt;&gt;"Sa",BA5&lt;&gt;"So"),COUNTIF(Tabelle1[Spalte49],"")-1,"")))</totalsRowFormula>
    </tableColumn>
    <tableColumn id="52" xr3:uid="{00000000-0010-0000-0000-000034000000}" name="Spalte50" totalsRowFunction="custom" dataDxfId="2249" totalsRowDxfId="320">
      <totalsRowFormula>IF(IF(AND(BB4&lt;=TODAY(),BB5&lt;&gt;"Sa",BB5&lt;&gt;"So"),COUNTIF(Tabelle1[Spalte50],"A"),IF(AND(BB5&lt;&gt;"Sa",BB5&lt;&gt;"So"),COUNTIF(Tabelle1[Spalte50],"")-1,""))&lt;0,0,IF(AND(BB4&lt;=TODAY(),BB5&lt;&gt;"Sa",BB5&lt;&gt;"So"),COUNTIF(Tabelle1[Spalte50],"A"),IF(AND(BB5&lt;&gt;"Sa",BB5&lt;&gt;"So"),COUNTIF(Tabelle1[Spalte50],"")-1,"")))</totalsRowFormula>
    </tableColumn>
    <tableColumn id="53" xr3:uid="{00000000-0010-0000-0000-000035000000}" name="Spalte51" totalsRowFunction="custom" dataDxfId="2248" totalsRowDxfId="319">
      <totalsRowFormula>IF(IF(AND(BC4&lt;=TODAY(),BC5&lt;&gt;"Sa",BC5&lt;&gt;"So"),COUNTIF(Tabelle1[Spalte51],"A"),IF(AND(BC5&lt;&gt;"Sa",BC5&lt;&gt;"So"),COUNTIF(Tabelle1[Spalte51],"")-1,""))&lt;0,0,IF(AND(BC4&lt;=TODAY(),BC5&lt;&gt;"Sa",BC5&lt;&gt;"So"),COUNTIF(Tabelle1[Spalte51],"A"),IF(AND(BC5&lt;&gt;"Sa",BC5&lt;&gt;"So"),COUNTIF(Tabelle1[Spalte51],"")-1,"")))</totalsRowFormula>
    </tableColumn>
    <tableColumn id="54" xr3:uid="{00000000-0010-0000-0000-000036000000}" name="Spalte52" totalsRowFunction="custom" dataDxfId="2247" totalsRowDxfId="318">
      <totalsRowFormula>IF(IF(AND(BD4&lt;=TODAY(),BD5&lt;&gt;"Sa",BD5&lt;&gt;"So"),COUNTIF(Tabelle1[Spalte52],"A"),IF(AND(BD5&lt;&gt;"Sa",BD5&lt;&gt;"So"),COUNTIF(Tabelle1[Spalte52],"")-1,""))&lt;0,0,IF(AND(BD4&lt;=TODAY(),BD5&lt;&gt;"Sa",BD5&lt;&gt;"So"),COUNTIF(Tabelle1[Spalte52],"A"),IF(AND(BD5&lt;&gt;"Sa",BD5&lt;&gt;"So"),COUNTIF(Tabelle1[Spalte52],"")-1,"")))</totalsRowFormula>
    </tableColumn>
    <tableColumn id="55" xr3:uid="{00000000-0010-0000-0000-000037000000}" name="Spalte53" totalsRowFunction="custom" dataDxfId="2246" totalsRowDxfId="317">
      <totalsRowFormula>IF(IF(AND(BE4&lt;=TODAY(),BE5&lt;&gt;"Sa",BE5&lt;&gt;"So"),COUNTIF(Tabelle1[Spalte53],"A"),IF(AND(BE5&lt;&gt;"Sa",BE5&lt;&gt;"So"),COUNTIF(Tabelle1[Spalte53],"")-1,""))&lt;0,0,IF(AND(BE4&lt;=TODAY(),BE5&lt;&gt;"Sa",BE5&lt;&gt;"So"),COUNTIF(Tabelle1[Spalte53],"A"),IF(AND(BE5&lt;&gt;"Sa",BE5&lt;&gt;"So"),COUNTIF(Tabelle1[Spalte53],"")-1,"")))</totalsRowFormula>
    </tableColumn>
    <tableColumn id="56" xr3:uid="{00000000-0010-0000-0000-000038000000}" name="Spalte54" totalsRowFunction="custom" dataDxfId="2245" totalsRowDxfId="316">
      <totalsRowFormula>IF(IF(AND(BF4&lt;=TODAY(),BF5&lt;&gt;"Sa",BF5&lt;&gt;"So"),COUNTIF(Tabelle1[Spalte54],"A"),IF(AND(BF5&lt;&gt;"Sa",BF5&lt;&gt;"So"),COUNTIF(Tabelle1[Spalte54],"")-1,""))&lt;0,0,IF(AND(BF4&lt;=TODAY(),BF5&lt;&gt;"Sa",BF5&lt;&gt;"So"),COUNTIF(Tabelle1[Spalte54],"A"),IF(AND(BF5&lt;&gt;"Sa",BF5&lt;&gt;"So"),COUNTIF(Tabelle1[Spalte54],"")-1,"")))</totalsRowFormula>
    </tableColumn>
    <tableColumn id="57" xr3:uid="{00000000-0010-0000-0000-000039000000}" name="Spalte55" totalsRowFunction="custom" dataDxfId="2244" totalsRowDxfId="315">
      <totalsRowFormula>IF(IF(AND(BG4&lt;=TODAY(),BG5&lt;&gt;"Sa",BG5&lt;&gt;"So"),COUNTIF(Tabelle1[Spalte55],"A"),IF(AND(BG5&lt;&gt;"Sa",BG5&lt;&gt;"So"),COUNTIF(Tabelle1[Spalte55],"")-1,""))&lt;0,0,IF(AND(BG4&lt;=TODAY(),BG5&lt;&gt;"Sa",BG5&lt;&gt;"So"),COUNTIF(Tabelle1[Spalte55],"A"),IF(AND(BG5&lt;&gt;"Sa",BG5&lt;&gt;"So"),COUNTIF(Tabelle1[Spalte55],"")-1,"")))</totalsRowFormula>
    </tableColumn>
    <tableColumn id="58" xr3:uid="{00000000-0010-0000-0000-00003A000000}" name="Spalte56" totalsRowFunction="custom" dataDxfId="2243" totalsRowDxfId="314">
      <totalsRowFormula>IF(IF(AND(BH4&lt;=TODAY(),BH5&lt;&gt;"Sa",BH5&lt;&gt;"So"),COUNTIF(Tabelle1[Spalte56],"A"),IF(AND(BH5&lt;&gt;"Sa",BH5&lt;&gt;"So"),COUNTIF(Tabelle1[Spalte56],"")-1,""))&lt;0,0,IF(AND(BH4&lt;=TODAY(),BH5&lt;&gt;"Sa",BH5&lt;&gt;"So"),COUNTIF(Tabelle1[Spalte56],"A"),IF(AND(BH5&lt;&gt;"Sa",BH5&lt;&gt;"So"),COUNTIF(Tabelle1[Spalte56],"")-1,"")))</totalsRowFormula>
    </tableColumn>
    <tableColumn id="59" xr3:uid="{00000000-0010-0000-0000-00003B000000}" name="Spalte57" totalsRowFunction="custom" dataDxfId="2242" totalsRowDxfId="313">
      <totalsRowFormula>IF(IF(AND(BI4&lt;=TODAY(),BI5&lt;&gt;"Sa",BI5&lt;&gt;"So"),COUNTIF(Tabelle1[Spalte57],"A"),IF(AND(BI5&lt;&gt;"Sa",BI5&lt;&gt;"So"),COUNTIF(Tabelle1[Spalte57],"")-1,""))&lt;0,0,IF(AND(BI4&lt;=TODAY(),BI5&lt;&gt;"Sa",BI5&lt;&gt;"So"),COUNTIF(Tabelle1[Spalte57],"A"),IF(AND(BI5&lt;&gt;"Sa",BI5&lt;&gt;"So"),COUNTIF(Tabelle1[Spalte57],"")-1,"")))</totalsRowFormula>
    </tableColumn>
    <tableColumn id="60" xr3:uid="{00000000-0010-0000-0000-00003C000000}" name="Spalte58" totalsRowFunction="custom" dataDxfId="2241" totalsRowDxfId="312">
      <totalsRowFormula>IF(IF(AND(BJ4&lt;=TODAY(),BJ5&lt;&gt;"Sa",BJ5&lt;&gt;"So"),COUNTIF(Tabelle1[Spalte58],"A"),IF(AND(BJ5&lt;&gt;"Sa",BJ5&lt;&gt;"So"),COUNTIF(Tabelle1[Spalte58],"")-1,""))&lt;0,0,IF(AND(BJ4&lt;=TODAY(),BJ5&lt;&gt;"Sa",BJ5&lt;&gt;"So"),COUNTIF(Tabelle1[Spalte58],"A"),IF(AND(BJ5&lt;&gt;"Sa",BJ5&lt;&gt;"So"),COUNTIF(Tabelle1[Spalte58],"")-1,"")))</totalsRowFormula>
    </tableColumn>
    <tableColumn id="61" xr3:uid="{00000000-0010-0000-0000-00003D000000}" name="Spalte59" totalsRowFunction="custom" dataDxfId="2240" totalsRowDxfId="311">
      <totalsRowFormula>IF(IF(AND(BK4&lt;=TODAY(),BK5&lt;&gt;"Sa",BK5&lt;&gt;"So"),COUNTIF(Tabelle1[Spalte59],"A"),IF(AND(BK5&lt;&gt;"Sa",BK5&lt;&gt;"So"),COUNTIF(Tabelle1[Spalte59],"")-1,""))&lt;0,0,IF(AND(BK4&lt;=TODAY(),BK5&lt;&gt;"Sa",BK5&lt;&gt;"So"),COUNTIF(Tabelle1[Spalte59],"A"),IF(AND(BK5&lt;&gt;"Sa",BK5&lt;&gt;"So"),COUNTIF(Tabelle1[Spalte59],"")-1,"")))</totalsRowFormula>
    </tableColumn>
    <tableColumn id="62" xr3:uid="{00000000-0010-0000-0000-00003E000000}" name="Spalte60" totalsRowFunction="custom" dataDxfId="2239" totalsRowDxfId="310">
      <totalsRowFormula>IF(IF(AND(BL4&lt;=TODAY(),BL5&lt;&gt;"Sa",BL5&lt;&gt;"So"),COUNTIF(Tabelle1[Spalte60],"A"),IF(AND(BL5&lt;&gt;"Sa",BL5&lt;&gt;"So"),COUNTIF(Tabelle1[Spalte60],"")-1,""))&lt;0,0,IF(AND(BL4&lt;=TODAY(),BL5&lt;&gt;"Sa",BL5&lt;&gt;"So"),COUNTIF(Tabelle1[Spalte60],"A"),IF(AND(BL5&lt;&gt;"Sa",BL5&lt;&gt;"So"),COUNTIF(Tabelle1[Spalte60],"")-1,"")))</totalsRowFormula>
    </tableColumn>
    <tableColumn id="63" xr3:uid="{00000000-0010-0000-0000-00003F000000}" name="Spalte61" totalsRowFunction="custom" dataDxfId="2238" totalsRowDxfId="309">
      <totalsRowFormula>IF(IF(AND(BM4&lt;=TODAY(),BM5&lt;&gt;"Sa",BM5&lt;&gt;"So"),COUNTIF(Tabelle1[Spalte61],"A"),IF(AND(BM5&lt;&gt;"Sa",BM5&lt;&gt;"So"),COUNTIF(Tabelle1[Spalte61],"")-1,""))&lt;0,0,IF(AND(BM4&lt;=TODAY(),BM5&lt;&gt;"Sa",BM5&lt;&gt;"So"),COUNTIF(Tabelle1[Spalte61],"A"),IF(AND(BM5&lt;&gt;"Sa",BM5&lt;&gt;"So"),COUNTIF(Tabelle1[Spalte61],"")-1,"")))</totalsRowFormula>
    </tableColumn>
    <tableColumn id="64" xr3:uid="{00000000-0010-0000-0000-000040000000}" name="Spalte62" totalsRowFunction="custom" dataDxfId="2237" totalsRowDxfId="308">
      <totalsRowFormula>IF(IF(AND(BN4&lt;=TODAY(),BN5&lt;&gt;"Sa",BN5&lt;&gt;"So"),COUNTIF(Tabelle1[Spalte62],"A"),IF(AND(BN5&lt;&gt;"Sa",BN5&lt;&gt;"So"),COUNTIF(Tabelle1[Spalte62],"")-1,""))&lt;0,0,IF(AND(BN4&lt;=TODAY(),BN5&lt;&gt;"Sa",BN5&lt;&gt;"So"),COUNTIF(Tabelle1[Spalte62],"A"),IF(AND(BN5&lt;&gt;"Sa",BN5&lt;&gt;"So"),COUNTIF(Tabelle1[Spalte62],"")-1,"")))</totalsRowFormula>
    </tableColumn>
    <tableColumn id="65" xr3:uid="{00000000-0010-0000-0000-000041000000}" name="Spalte63" totalsRowFunction="custom" dataDxfId="2236" totalsRowDxfId="307">
      <totalsRowFormula>IF(IF(AND(BO4&lt;=TODAY(),BO5&lt;&gt;"Sa",BO5&lt;&gt;"So"),COUNTIF(Tabelle1[Spalte63],"A"),IF(AND(BO5&lt;&gt;"Sa",BO5&lt;&gt;"So"),COUNTIF(Tabelle1[Spalte63],"")-1,""))&lt;0,0,IF(AND(BO4&lt;=TODAY(),BO5&lt;&gt;"Sa",BO5&lt;&gt;"So"),COUNTIF(Tabelle1[Spalte63],"A"),IF(AND(BO5&lt;&gt;"Sa",BO5&lt;&gt;"So"),COUNTIF(Tabelle1[Spalte63],"")-1,"")))</totalsRowFormula>
    </tableColumn>
    <tableColumn id="66" xr3:uid="{00000000-0010-0000-0000-000042000000}" name="Spalte64" totalsRowFunction="custom" dataDxfId="2235" totalsRowDxfId="306">
      <totalsRowFormula>IF(IF(AND(BP4&lt;=TODAY(),BP5&lt;&gt;"Sa",BP5&lt;&gt;"So"),COUNTIF(Tabelle1[Spalte64],"A"),IF(AND(BP5&lt;&gt;"Sa",BP5&lt;&gt;"So"),COUNTIF(Tabelle1[Spalte64],"")-1,""))&lt;0,0,IF(AND(BP4&lt;=TODAY(),BP5&lt;&gt;"Sa",BP5&lt;&gt;"So"),COUNTIF(Tabelle1[Spalte64],"A"),IF(AND(BP5&lt;&gt;"Sa",BP5&lt;&gt;"So"),COUNTIF(Tabelle1[Spalte64],"")-1,"")))</totalsRowFormula>
    </tableColumn>
    <tableColumn id="67" xr3:uid="{00000000-0010-0000-0000-000043000000}" name="Spalte65" totalsRowFunction="custom" dataDxfId="2234" totalsRowDxfId="305">
      <totalsRowFormula>IF(IF(AND(BQ4&lt;=TODAY(),BQ5&lt;&gt;"Sa",BQ5&lt;&gt;"So"),COUNTIF(Tabelle1[Spalte65],"A"),IF(AND(BQ5&lt;&gt;"Sa",BQ5&lt;&gt;"So"),COUNTIF(Tabelle1[Spalte65],"")-1,""))&lt;0,0,IF(AND(BQ4&lt;=TODAY(),BQ5&lt;&gt;"Sa",BQ5&lt;&gt;"So"),COUNTIF(Tabelle1[Spalte65],"A"),IF(AND(BQ5&lt;&gt;"Sa",BQ5&lt;&gt;"So"),COUNTIF(Tabelle1[Spalte65],"")-1,"")))</totalsRowFormula>
    </tableColumn>
    <tableColumn id="68" xr3:uid="{00000000-0010-0000-0000-000044000000}" name="Spalte66" totalsRowFunction="custom" dataDxfId="2233" totalsRowDxfId="304">
      <totalsRowFormula>IF(IF(AND(BR4&lt;=TODAY(),BR5&lt;&gt;"Sa",BR5&lt;&gt;"So"),COUNTIF(Tabelle1[Spalte66],"A"),IF(AND(BR5&lt;&gt;"Sa",BR5&lt;&gt;"So"),COUNTIF(Tabelle1[Spalte66],"")-1,""))&lt;0,0,IF(AND(BR4&lt;=TODAY(),BR5&lt;&gt;"Sa",BR5&lt;&gt;"So"),COUNTIF(Tabelle1[Spalte66],"A"),IF(AND(BR5&lt;&gt;"Sa",BR5&lt;&gt;"So"),COUNTIF(Tabelle1[Spalte66],"")-1,"")))</totalsRowFormula>
    </tableColumn>
    <tableColumn id="69" xr3:uid="{00000000-0010-0000-0000-000045000000}" name="Spalte67" totalsRowFunction="custom" dataDxfId="2232" totalsRowDxfId="303">
      <totalsRowFormula>IF(IF(AND(BS4&lt;=TODAY(),BS5&lt;&gt;"Sa",BS5&lt;&gt;"So"),COUNTIF(Tabelle1[Spalte67],"A"),IF(AND(BS5&lt;&gt;"Sa",BS5&lt;&gt;"So"),COUNTIF(Tabelle1[Spalte67],"")-1,""))&lt;0,0,IF(AND(BS4&lt;=TODAY(),BS5&lt;&gt;"Sa",BS5&lt;&gt;"So"),COUNTIF(Tabelle1[Spalte67],"A"),IF(AND(BS5&lt;&gt;"Sa",BS5&lt;&gt;"So"),COUNTIF(Tabelle1[Spalte67],"")-1,"")))</totalsRowFormula>
    </tableColumn>
    <tableColumn id="70" xr3:uid="{00000000-0010-0000-0000-000046000000}" name="Spalte68" totalsRowFunction="custom" dataDxfId="2231" totalsRowDxfId="302">
      <totalsRowFormula>IF(IF(AND(BT4&lt;=TODAY(),BT5&lt;&gt;"Sa",BT5&lt;&gt;"So"),COUNTIF(Tabelle1[Spalte68],"A"),IF(AND(BT5&lt;&gt;"Sa",BT5&lt;&gt;"So"),COUNTIF(Tabelle1[Spalte68],"")-1,""))&lt;0,0,IF(AND(BT4&lt;=TODAY(),BT5&lt;&gt;"Sa",BT5&lt;&gt;"So"),COUNTIF(Tabelle1[Spalte68],"A"),IF(AND(BT5&lt;&gt;"Sa",BT5&lt;&gt;"So"),COUNTIF(Tabelle1[Spalte68],"")-1,"")))</totalsRowFormula>
    </tableColumn>
    <tableColumn id="71" xr3:uid="{00000000-0010-0000-0000-000047000000}" name="Spalte69" totalsRowFunction="custom" dataDxfId="2230" totalsRowDxfId="301">
      <totalsRowFormula>IF(IF(AND(BU4&lt;=TODAY(),BU5&lt;&gt;"Sa",BU5&lt;&gt;"So"),COUNTIF(Tabelle1[Spalte69],"A"),IF(AND(BU5&lt;&gt;"Sa",BU5&lt;&gt;"So"),COUNTIF(Tabelle1[Spalte69],"")-1,""))&lt;0,0,IF(AND(BU4&lt;=TODAY(),BU5&lt;&gt;"Sa",BU5&lt;&gt;"So"),COUNTIF(Tabelle1[Spalte69],"A"),IF(AND(BU5&lt;&gt;"Sa",BU5&lt;&gt;"So"),COUNTIF(Tabelle1[Spalte69],"")-1,"")))</totalsRowFormula>
    </tableColumn>
    <tableColumn id="72" xr3:uid="{00000000-0010-0000-0000-000048000000}" name="Spalte70" totalsRowFunction="custom" dataDxfId="2229" totalsRowDxfId="300">
      <totalsRowFormula>IF(IF(AND(BV4&lt;=TODAY(),BV5&lt;&gt;"Sa",BV5&lt;&gt;"So"),COUNTIF(Tabelle1[Spalte70],"A"),IF(AND(BV5&lt;&gt;"Sa",BV5&lt;&gt;"So"),COUNTIF(Tabelle1[Spalte70],"")-1,""))&lt;0,0,IF(AND(BV4&lt;=TODAY(),BV5&lt;&gt;"Sa",BV5&lt;&gt;"So"),COUNTIF(Tabelle1[Spalte70],"A"),IF(AND(BV5&lt;&gt;"Sa",BV5&lt;&gt;"So"),COUNTIF(Tabelle1[Spalte70],"")-1,"")))</totalsRowFormula>
    </tableColumn>
    <tableColumn id="73" xr3:uid="{00000000-0010-0000-0000-000049000000}" name="Spalte71" totalsRowFunction="custom" dataDxfId="2228" totalsRowDxfId="299">
      <totalsRowFormula>IF(IF(AND(BW4&lt;=TODAY(),BW5&lt;&gt;"Sa",BW5&lt;&gt;"So"),COUNTIF(Tabelle1[Spalte71],"A"),IF(AND(BW5&lt;&gt;"Sa",BW5&lt;&gt;"So"),COUNTIF(Tabelle1[Spalte71],"")-1,""))&lt;0,0,IF(AND(BW4&lt;=TODAY(),BW5&lt;&gt;"Sa",BW5&lt;&gt;"So"),COUNTIF(Tabelle1[Spalte71],"A"),IF(AND(BW5&lt;&gt;"Sa",BW5&lt;&gt;"So"),COUNTIF(Tabelle1[Spalte71],"")-1,"")))</totalsRowFormula>
    </tableColumn>
    <tableColumn id="74" xr3:uid="{00000000-0010-0000-0000-00004A000000}" name="Spalte72" totalsRowFunction="custom" dataDxfId="2227" totalsRowDxfId="298">
      <totalsRowFormula>IF(IF(AND(BX4&lt;=TODAY(),BX5&lt;&gt;"Sa",BX5&lt;&gt;"So"),COUNTIF(Tabelle1[Spalte72],"A"),IF(AND(BX5&lt;&gt;"Sa",BX5&lt;&gt;"So"),COUNTIF(Tabelle1[Spalte72],"")-1,""))&lt;0,0,IF(AND(BX4&lt;=TODAY(),BX5&lt;&gt;"Sa",BX5&lt;&gt;"So"),COUNTIF(Tabelle1[Spalte72],"A"),IF(AND(BX5&lt;&gt;"Sa",BX5&lt;&gt;"So"),COUNTIF(Tabelle1[Spalte72],"")-1,"")))</totalsRowFormula>
    </tableColumn>
    <tableColumn id="75" xr3:uid="{00000000-0010-0000-0000-00004B000000}" name="Spalte73" totalsRowFunction="custom" dataDxfId="2226" totalsRowDxfId="297">
      <totalsRowFormula>IF(IF(AND(BY4&lt;=TODAY(),BY5&lt;&gt;"Sa",BY5&lt;&gt;"So"),COUNTIF(Tabelle1[Spalte73],"A"),IF(AND(BY5&lt;&gt;"Sa",BY5&lt;&gt;"So"),COUNTIF(Tabelle1[Spalte73],"")-1,""))&lt;0,0,IF(AND(BY4&lt;=TODAY(),BY5&lt;&gt;"Sa",BY5&lt;&gt;"So"),COUNTIF(Tabelle1[Spalte73],"A"),IF(AND(BY5&lt;&gt;"Sa",BY5&lt;&gt;"So"),COUNTIF(Tabelle1[Spalte73],"")-1,"")))</totalsRowFormula>
    </tableColumn>
    <tableColumn id="76" xr3:uid="{00000000-0010-0000-0000-00004C000000}" name="Spalte74" totalsRowFunction="custom" dataDxfId="2225" totalsRowDxfId="296">
      <totalsRowFormula>IF(IF(AND(BZ4&lt;=TODAY(),BZ5&lt;&gt;"Sa",BZ5&lt;&gt;"So"),COUNTIF(Tabelle1[Spalte74],"A"),IF(AND(BZ5&lt;&gt;"Sa",BZ5&lt;&gt;"So"),COUNTIF(Tabelle1[Spalte74],"")-1,""))&lt;0,0,IF(AND(BZ4&lt;=TODAY(),BZ5&lt;&gt;"Sa",BZ5&lt;&gt;"So"),COUNTIF(Tabelle1[Spalte74],"A"),IF(AND(BZ5&lt;&gt;"Sa",BZ5&lt;&gt;"So"),COUNTIF(Tabelle1[Spalte74],"")-1,"")))</totalsRowFormula>
    </tableColumn>
    <tableColumn id="77" xr3:uid="{00000000-0010-0000-0000-00004D000000}" name="Spalte75" totalsRowFunction="custom" dataDxfId="2224" totalsRowDxfId="295">
      <totalsRowFormula>IF(IF(AND(CA4&lt;=TODAY(),CA5&lt;&gt;"Sa",CA5&lt;&gt;"So"),COUNTIF(Tabelle1[Spalte75],"A"),IF(AND(CA5&lt;&gt;"Sa",CA5&lt;&gt;"So"),COUNTIF(Tabelle1[Spalte75],"")-1,""))&lt;0,0,IF(AND(CA4&lt;=TODAY(),CA5&lt;&gt;"Sa",CA5&lt;&gt;"So"),COUNTIF(Tabelle1[Spalte75],"A"),IF(AND(CA5&lt;&gt;"Sa",CA5&lt;&gt;"So"),COUNTIF(Tabelle1[Spalte75],"")-1,"")))</totalsRowFormula>
    </tableColumn>
    <tableColumn id="78" xr3:uid="{00000000-0010-0000-0000-00004E000000}" name="Spalte76" totalsRowFunction="custom" dataDxfId="2223" totalsRowDxfId="294">
      <totalsRowFormula>IF(IF(AND(CB4&lt;=TODAY(),CB5&lt;&gt;"Sa",CB5&lt;&gt;"So"),COUNTIF(Tabelle1[Spalte76],"A"),IF(AND(CB5&lt;&gt;"Sa",CB5&lt;&gt;"So"),COUNTIF(Tabelle1[Spalte76],"")-1,""))&lt;0,0,IF(AND(CB4&lt;=TODAY(),CB5&lt;&gt;"Sa",CB5&lt;&gt;"So"),COUNTIF(Tabelle1[Spalte76],"A"),IF(AND(CB5&lt;&gt;"Sa",CB5&lt;&gt;"So"),COUNTIF(Tabelle1[Spalte76],"")-1,"")))</totalsRowFormula>
    </tableColumn>
    <tableColumn id="79" xr3:uid="{00000000-0010-0000-0000-00004F000000}" name="Spalte77" totalsRowFunction="custom" dataDxfId="2222" totalsRowDxfId="293">
      <totalsRowFormula>IF(IF(AND(CC4&lt;=TODAY(),CC5&lt;&gt;"Sa",CC5&lt;&gt;"So"),COUNTIF(Tabelle1[Spalte77],"A"),IF(AND(CC5&lt;&gt;"Sa",CC5&lt;&gt;"So"),COUNTIF(Tabelle1[Spalte77],"")-1,""))&lt;0,0,IF(AND(CC4&lt;=TODAY(),CC5&lt;&gt;"Sa",CC5&lt;&gt;"So"),COUNTIF(Tabelle1[Spalte77],"A"),IF(AND(CC5&lt;&gt;"Sa",CC5&lt;&gt;"So"),COUNTIF(Tabelle1[Spalte77],"")-1,"")))</totalsRowFormula>
    </tableColumn>
    <tableColumn id="80" xr3:uid="{00000000-0010-0000-0000-000050000000}" name="Spalte78" totalsRowFunction="custom" dataDxfId="2221" totalsRowDxfId="292">
      <totalsRowFormula>IF(IF(AND(CD4&lt;=TODAY(),CD5&lt;&gt;"Sa",CD5&lt;&gt;"So"),COUNTIF(Tabelle1[Spalte78],"A"),IF(AND(CD5&lt;&gt;"Sa",CD5&lt;&gt;"So"),COUNTIF(Tabelle1[Spalte78],"")-1,""))&lt;0,0,IF(AND(CD4&lt;=TODAY(),CD5&lt;&gt;"Sa",CD5&lt;&gt;"So"),COUNTIF(Tabelle1[Spalte78],"A"),IF(AND(CD5&lt;&gt;"Sa",CD5&lt;&gt;"So"),COUNTIF(Tabelle1[Spalte78],"")-1,"")))</totalsRowFormula>
    </tableColumn>
    <tableColumn id="81" xr3:uid="{00000000-0010-0000-0000-000051000000}" name="Spalte79" totalsRowFunction="custom" dataDxfId="2220" totalsRowDxfId="291">
      <totalsRowFormula>IF(IF(AND(CE4&lt;=TODAY(),CE5&lt;&gt;"Sa",CE5&lt;&gt;"So"),COUNTIF(Tabelle1[Spalte79],"A"),IF(AND(CE5&lt;&gt;"Sa",CE5&lt;&gt;"So"),COUNTIF(Tabelle1[Spalte79],"")-1,""))&lt;0,0,IF(AND(CE4&lt;=TODAY(),CE5&lt;&gt;"Sa",CE5&lt;&gt;"So"),COUNTIF(Tabelle1[Spalte79],"A"),IF(AND(CE5&lt;&gt;"Sa",CE5&lt;&gt;"So"),COUNTIF(Tabelle1[Spalte79],"")-1,"")))</totalsRowFormula>
    </tableColumn>
    <tableColumn id="82" xr3:uid="{00000000-0010-0000-0000-000052000000}" name="Spalte80" totalsRowFunction="custom" dataDxfId="2219" totalsRowDxfId="290">
      <totalsRowFormula>IF(IF(AND(CF4&lt;=TODAY(),CF5&lt;&gt;"Sa",CF5&lt;&gt;"So"),COUNTIF(Tabelle1[Spalte80],"A"),IF(AND(CF5&lt;&gt;"Sa",CF5&lt;&gt;"So"),COUNTIF(Tabelle1[Spalte80],"")-1,""))&lt;0,0,IF(AND(CF4&lt;=TODAY(),CF5&lt;&gt;"Sa",CF5&lt;&gt;"So"),COUNTIF(Tabelle1[Spalte80],"A"),IF(AND(CF5&lt;&gt;"Sa",CF5&lt;&gt;"So"),COUNTIF(Tabelle1[Spalte80],"")-1,"")))</totalsRowFormula>
    </tableColumn>
    <tableColumn id="83" xr3:uid="{00000000-0010-0000-0000-000053000000}" name="Spalte81" totalsRowFunction="custom" dataDxfId="2218" totalsRowDxfId="289">
      <totalsRowFormula>IF(IF(AND(CG4&lt;=TODAY(),CG5&lt;&gt;"Sa",CG5&lt;&gt;"So"),COUNTIF(Tabelle1[Spalte81],"A"),IF(AND(CG5&lt;&gt;"Sa",CG5&lt;&gt;"So"),COUNTIF(Tabelle1[Spalte81],"")-1,""))&lt;0,0,IF(AND(CG4&lt;=TODAY(),CG5&lt;&gt;"Sa",CG5&lt;&gt;"So"),COUNTIF(Tabelle1[Spalte81],"A"),IF(AND(CG5&lt;&gt;"Sa",CG5&lt;&gt;"So"),COUNTIF(Tabelle1[Spalte81],"")-1,"")))</totalsRowFormula>
    </tableColumn>
    <tableColumn id="84" xr3:uid="{00000000-0010-0000-0000-000054000000}" name="Spalte82" totalsRowFunction="custom" dataDxfId="2217" totalsRowDxfId="288">
      <totalsRowFormula>IF(IF(AND(CH4&lt;=TODAY(),CH5&lt;&gt;"Sa",CH5&lt;&gt;"So"),COUNTIF(Tabelle1[Spalte82],"A"),IF(AND(CH5&lt;&gt;"Sa",CH5&lt;&gt;"So"),COUNTIF(Tabelle1[Spalte82],"")-1,""))&lt;0,0,IF(AND(CH4&lt;=TODAY(),CH5&lt;&gt;"Sa",CH5&lt;&gt;"So"),COUNTIF(Tabelle1[Spalte82],"A"),IF(AND(CH5&lt;&gt;"Sa",CH5&lt;&gt;"So"),COUNTIF(Tabelle1[Spalte82],"")-1,"")))</totalsRowFormula>
    </tableColumn>
    <tableColumn id="85" xr3:uid="{00000000-0010-0000-0000-000055000000}" name="Spalte83" totalsRowFunction="custom" dataDxfId="2216" totalsRowDxfId="287">
      <totalsRowFormula>IF(IF(AND(CI4&lt;=TODAY(),CI5&lt;&gt;"Sa",CI5&lt;&gt;"So"),COUNTIF(Tabelle1[Spalte83],"A"),IF(AND(CI5&lt;&gt;"Sa",CI5&lt;&gt;"So"),COUNTIF(Tabelle1[Spalte83],"")-1,""))&lt;0,0,IF(AND(CI4&lt;=TODAY(),CI5&lt;&gt;"Sa",CI5&lt;&gt;"So"),COUNTIF(Tabelle1[Spalte83],"A"),IF(AND(CI5&lt;&gt;"Sa",CI5&lt;&gt;"So"),COUNTIF(Tabelle1[Spalte83],"")-1,"")))</totalsRowFormula>
    </tableColumn>
    <tableColumn id="86" xr3:uid="{00000000-0010-0000-0000-000056000000}" name="Spalte84" totalsRowFunction="custom" dataDxfId="2215" totalsRowDxfId="286">
      <totalsRowFormula>IF(IF(AND(CJ4&lt;=TODAY(),CJ5&lt;&gt;"Sa",CJ5&lt;&gt;"So"),COUNTIF(Tabelle1[Spalte84],"A"),IF(AND(CJ5&lt;&gt;"Sa",CJ5&lt;&gt;"So"),COUNTIF(Tabelle1[Spalte84],"")-1,""))&lt;0,0,IF(AND(CJ4&lt;=TODAY(),CJ5&lt;&gt;"Sa",CJ5&lt;&gt;"So"),COUNTIF(Tabelle1[Spalte84],"A"),IF(AND(CJ5&lt;&gt;"Sa",CJ5&lt;&gt;"So"),COUNTIF(Tabelle1[Spalte84],"")-1,"")))</totalsRowFormula>
    </tableColumn>
    <tableColumn id="87" xr3:uid="{00000000-0010-0000-0000-000057000000}" name="Spalte85" totalsRowFunction="custom" dataDxfId="2214" totalsRowDxfId="285">
      <totalsRowFormula>IF(IF(AND(CK4&lt;=TODAY(),CK5&lt;&gt;"Sa",CK5&lt;&gt;"So"),COUNTIF(Tabelle1[Spalte85],"A"),IF(AND(CK5&lt;&gt;"Sa",CK5&lt;&gt;"So"),COUNTIF(Tabelle1[Spalte85],"")-1,""))&lt;0,0,IF(AND(CK4&lt;=TODAY(),CK5&lt;&gt;"Sa",CK5&lt;&gt;"So"),COUNTIF(Tabelle1[Spalte85],"A"),IF(AND(CK5&lt;&gt;"Sa",CK5&lt;&gt;"So"),COUNTIF(Tabelle1[Spalte85],"")-1,"")))</totalsRowFormula>
    </tableColumn>
    <tableColumn id="88" xr3:uid="{00000000-0010-0000-0000-000058000000}" name="Spalte86" totalsRowFunction="custom" dataDxfId="2213" totalsRowDxfId="284">
      <totalsRowFormula>IF(IF(AND(CL4&lt;=TODAY(),CL5&lt;&gt;"Sa",CL5&lt;&gt;"So"),COUNTIF(Tabelle1[Spalte86],"A"),IF(AND(CL5&lt;&gt;"Sa",CL5&lt;&gt;"So"),COUNTIF(Tabelle1[Spalte86],"")-1,""))&lt;0,0,IF(AND(CL4&lt;=TODAY(),CL5&lt;&gt;"Sa",CL5&lt;&gt;"So"),COUNTIF(Tabelle1[Spalte86],"A"),IF(AND(CL5&lt;&gt;"Sa",CL5&lt;&gt;"So"),COUNTIF(Tabelle1[Spalte86],"")-1,"")))</totalsRowFormula>
    </tableColumn>
    <tableColumn id="89" xr3:uid="{00000000-0010-0000-0000-000059000000}" name="Spalte87" totalsRowFunction="custom" dataDxfId="2212" totalsRowDxfId="283">
      <totalsRowFormula>IF(IF(AND(CM4&lt;=TODAY(),CM5&lt;&gt;"Sa",CM5&lt;&gt;"So"),COUNTIF(Tabelle1[Spalte87],"A"),IF(AND(CM5&lt;&gt;"Sa",CM5&lt;&gt;"So"),COUNTIF(Tabelle1[Spalte87],"")-1,""))&lt;0,0,IF(AND(CM4&lt;=TODAY(),CM5&lt;&gt;"Sa",CM5&lt;&gt;"So"),COUNTIF(Tabelle1[Spalte87],"A"),IF(AND(CM5&lt;&gt;"Sa",CM5&lt;&gt;"So"),COUNTIF(Tabelle1[Spalte87],"")-1,"")))</totalsRowFormula>
    </tableColumn>
    <tableColumn id="90" xr3:uid="{00000000-0010-0000-0000-00005A000000}" name="Spalte88" totalsRowFunction="custom" dataDxfId="2211" totalsRowDxfId="282">
      <totalsRowFormula>IF(IF(AND(CN4&lt;=TODAY(),CN5&lt;&gt;"Sa",CN5&lt;&gt;"So"),COUNTIF(Tabelle1[Spalte88],"A"),IF(AND(CN5&lt;&gt;"Sa",CN5&lt;&gt;"So"),COUNTIF(Tabelle1[Spalte88],"")-1,""))&lt;0,0,IF(AND(CN4&lt;=TODAY(),CN5&lt;&gt;"Sa",CN5&lt;&gt;"So"),COUNTIF(Tabelle1[Spalte88],"A"),IF(AND(CN5&lt;&gt;"Sa",CN5&lt;&gt;"So"),COUNTIF(Tabelle1[Spalte88],"")-1,"")))</totalsRowFormula>
    </tableColumn>
    <tableColumn id="91" xr3:uid="{00000000-0010-0000-0000-00005B000000}" name="Spalte89" totalsRowFunction="custom" dataDxfId="2210" totalsRowDxfId="281">
      <totalsRowFormula>IF(IF(AND(CO4&lt;=TODAY(),CO5&lt;&gt;"Sa",CO5&lt;&gt;"So"),COUNTIF(Tabelle1[Spalte89],"A"),IF(AND(CO5&lt;&gt;"Sa",CO5&lt;&gt;"So"),COUNTIF(Tabelle1[Spalte89],"")-1,""))&lt;0,0,IF(AND(CO4&lt;=TODAY(),CO5&lt;&gt;"Sa",CO5&lt;&gt;"So"),COUNTIF(Tabelle1[Spalte89],"A"),IF(AND(CO5&lt;&gt;"Sa",CO5&lt;&gt;"So"),COUNTIF(Tabelle1[Spalte89],"")-1,"")))</totalsRowFormula>
    </tableColumn>
    <tableColumn id="92" xr3:uid="{00000000-0010-0000-0000-00005C000000}" name="Spalte90" totalsRowFunction="custom" dataDxfId="2209" totalsRowDxfId="280">
      <totalsRowFormula>IF(IF(AND(CP4&lt;=TODAY(),CP5&lt;&gt;"Sa",CP5&lt;&gt;"So"),COUNTIF(Tabelle1[Spalte90],"A"),IF(AND(CP5&lt;&gt;"Sa",CP5&lt;&gt;"So"),COUNTIF(Tabelle1[Spalte90],"")-1,""))&lt;0,0,IF(AND(CP4&lt;=TODAY(),CP5&lt;&gt;"Sa",CP5&lt;&gt;"So"),COUNTIF(Tabelle1[Spalte90],"A"),IF(AND(CP5&lt;&gt;"Sa",CP5&lt;&gt;"So"),COUNTIF(Tabelle1[Spalte90],"")-1,"")))</totalsRowFormula>
    </tableColumn>
    <tableColumn id="93" xr3:uid="{00000000-0010-0000-0000-00005D000000}" name="Spalte91" totalsRowFunction="custom" dataDxfId="2208" totalsRowDxfId="279">
      <totalsRowFormula>IF(IF(AND(CQ4&lt;=TODAY(),CQ5&lt;&gt;"Sa",CQ5&lt;&gt;"So"),COUNTIF(Tabelle1[Spalte91],"A"),IF(AND(CQ5&lt;&gt;"Sa",CQ5&lt;&gt;"So"),COUNTIF(Tabelle1[Spalte91],"")-1,""))&lt;0,0,IF(AND(CQ4&lt;=TODAY(),CQ5&lt;&gt;"Sa",CQ5&lt;&gt;"So"),COUNTIF(Tabelle1[Spalte91],"A"),IF(AND(CQ5&lt;&gt;"Sa",CQ5&lt;&gt;"So"),COUNTIF(Tabelle1[Spalte91],"")-1,"")))</totalsRowFormula>
    </tableColumn>
    <tableColumn id="94" xr3:uid="{00000000-0010-0000-0000-00005E000000}" name="Spalte92" totalsRowFunction="custom" dataDxfId="2207" totalsRowDxfId="278">
      <totalsRowFormula>IF(IF(AND(CR4&lt;=TODAY(),CR5&lt;&gt;"Sa",CR5&lt;&gt;"So"),COUNTIF(Tabelle1[Spalte92],"A"),IF(AND(CR5&lt;&gt;"Sa",CR5&lt;&gt;"So"),COUNTIF(Tabelle1[Spalte92],"")-1,""))&lt;0,0,IF(AND(CR4&lt;=TODAY(),CR5&lt;&gt;"Sa",CR5&lt;&gt;"So"),COUNTIF(Tabelle1[Spalte92],"A"),IF(AND(CR5&lt;&gt;"Sa",CR5&lt;&gt;"So"),COUNTIF(Tabelle1[Spalte92],"")-1,"")))</totalsRowFormula>
    </tableColumn>
    <tableColumn id="95" xr3:uid="{00000000-0010-0000-0000-00005F000000}" name="Spalte93" totalsRowFunction="custom" dataDxfId="2206" totalsRowDxfId="277">
      <totalsRowFormula>IF(IF(AND(CS4&lt;=TODAY(),CS5&lt;&gt;"Sa",CS5&lt;&gt;"So"),COUNTIF(Tabelle1[Spalte93],"A"),IF(AND(CS5&lt;&gt;"Sa",CS5&lt;&gt;"So"),COUNTIF(Tabelle1[Spalte93],"")-1,""))&lt;0,0,IF(AND(CS4&lt;=TODAY(),CS5&lt;&gt;"Sa",CS5&lt;&gt;"So"),COUNTIF(Tabelle1[Spalte93],"A"),IF(AND(CS5&lt;&gt;"Sa",CS5&lt;&gt;"So"),COUNTIF(Tabelle1[Spalte93],"")-1,"")))</totalsRowFormula>
    </tableColumn>
    <tableColumn id="96" xr3:uid="{00000000-0010-0000-0000-000060000000}" name="Spalte94" totalsRowFunction="custom" dataDxfId="2205" totalsRowDxfId="276">
      <totalsRowFormula>IF(IF(AND(CT4&lt;=TODAY(),CT5&lt;&gt;"Sa",CT5&lt;&gt;"So"),COUNTIF(Tabelle1[Spalte94],"A"),IF(AND(CT5&lt;&gt;"Sa",CT5&lt;&gt;"So"),COUNTIF(Tabelle1[Spalte94],"")-1,""))&lt;0,0,IF(AND(CT4&lt;=TODAY(),CT5&lt;&gt;"Sa",CT5&lt;&gt;"So"),COUNTIF(Tabelle1[Spalte94],"A"),IF(AND(CT5&lt;&gt;"Sa",CT5&lt;&gt;"So"),COUNTIF(Tabelle1[Spalte94],"")-1,"")))</totalsRowFormula>
    </tableColumn>
    <tableColumn id="97" xr3:uid="{00000000-0010-0000-0000-000061000000}" name="Spalte95" totalsRowFunction="custom" dataDxfId="2204" totalsRowDxfId="275">
      <totalsRowFormula>IF(IF(AND(CU4&lt;=TODAY(),CU5&lt;&gt;"Sa",CU5&lt;&gt;"So"),COUNTIF(Tabelle1[Spalte95],"A"),IF(AND(CU5&lt;&gt;"Sa",CU5&lt;&gt;"So"),COUNTIF(Tabelle1[Spalte95],"")-1,""))&lt;0,0,IF(AND(CU4&lt;=TODAY(),CU5&lt;&gt;"Sa",CU5&lt;&gt;"So"),COUNTIF(Tabelle1[Spalte95],"A"),IF(AND(CU5&lt;&gt;"Sa",CU5&lt;&gt;"So"),COUNTIF(Tabelle1[Spalte95],"")-1,"")))</totalsRowFormula>
    </tableColumn>
    <tableColumn id="98" xr3:uid="{00000000-0010-0000-0000-000062000000}" name="Spalte96" totalsRowFunction="custom" dataDxfId="2203" totalsRowDxfId="274">
      <totalsRowFormula>IF(IF(AND(CV4&lt;=TODAY(),CV5&lt;&gt;"Sa",CV5&lt;&gt;"So"),COUNTIF(Tabelle1[Spalte96],"A"),IF(AND(CV5&lt;&gt;"Sa",CV5&lt;&gt;"So"),COUNTIF(Tabelle1[Spalte96],"")-1,""))&lt;0,0,IF(AND(CV4&lt;=TODAY(),CV5&lt;&gt;"Sa",CV5&lt;&gt;"So"),COUNTIF(Tabelle1[Spalte96],"A"),IF(AND(CV5&lt;&gt;"Sa",CV5&lt;&gt;"So"),COUNTIF(Tabelle1[Spalte96],"")-1,"")))</totalsRowFormula>
    </tableColumn>
    <tableColumn id="99" xr3:uid="{00000000-0010-0000-0000-000063000000}" name="Spalte97" totalsRowFunction="custom" dataDxfId="2202" totalsRowDxfId="273">
      <totalsRowFormula>IF(IF(AND(CW4&lt;=TODAY(),CW5&lt;&gt;"Sa",CW5&lt;&gt;"So"),COUNTIF(Tabelle1[Spalte97],"A"),IF(AND(CW5&lt;&gt;"Sa",CW5&lt;&gt;"So"),COUNTIF(Tabelle1[Spalte97],"")-1,""))&lt;0,0,IF(AND(CW4&lt;=TODAY(),CW5&lt;&gt;"Sa",CW5&lt;&gt;"So"),COUNTIF(Tabelle1[Spalte97],"A"),IF(AND(CW5&lt;&gt;"Sa",CW5&lt;&gt;"So"),COUNTIF(Tabelle1[Spalte97],"")-1,"")))</totalsRowFormula>
    </tableColumn>
    <tableColumn id="100" xr3:uid="{00000000-0010-0000-0000-000064000000}" name="Spalte98" totalsRowFunction="custom" dataDxfId="2201" totalsRowDxfId="272">
      <totalsRowFormula>IF(IF(AND(CX4&lt;=TODAY(),CX5&lt;&gt;"Sa",CX5&lt;&gt;"So"),COUNTIF(Tabelle1[Spalte98],"A"),IF(AND(CX5&lt;&gt;"Sa",CX5&lt;&gt;"So"),COUNTIF(Tabelle1[Spalte98],"")-1,""))&lt;0,0,IF(AND(CX4&lt;=TODAY(),CX5&lt;&gt;"Sa",CX5&lt;&gt;"So"),COUNTIF(Tabelle1[Spalte98],"A"),IF(AND(CX5&lt;&gt;"Sa",CX5&lt;&gt;"So"),COUNTIF(Tabelle1[Spalte98],"")-1,"")))</totalsRowFormula>
    </tableColumn>
    <tableColumn id="101" xr3:uid="{00000000-0010-0000-0000-000065000000}" name="Spalte99" totalsRowFunction="custom" dataDxfId="2200" totalsRowDxfId="271">
      <totalsRowFormula>IF(IF(AND(CY4&lt;=TODAY(),CY5&lt;&gt;"Sa",CY5&lt;&gt;"So"),COUNTIF(Tabelle1[Spalte99],"A"),IF(AND(CY5&lt;&gt;"Sa",CY5&lt;&gt;"So"),COUNTIF(Tabelle1[Spalte99],"")-1,""))&lt;0,0,IF(AND(CY4&lt;=TODAY(),CY5&lt;&gt;"Sa",CY5&lt;&gt;"So"),COUNTIF(Tabelle1[Spalte99],"A"),IF(AND(CY5&lt;&gt;"Sa",CY5&lt;&gt;"So"),COUNTIF(Tabelle1[Spalte99],"")-1,"")))</totalsRowFormula>
    </tableColumn>
    <tableColumn id="102" xr3:uid="{00000000-0010-0000-0000-000066000000}" name="Spalte100" totalsRowFunction="custom" dataDxfId="2199" totalsRowDxfId="270">
      <totalsRowFormula>IF(IF(AND(CZ4&lt;=TODAY(),CZ5&lt;&gt;"Sa",CZ5&lt;&gt;"So"),COUNTIF(Tabelle1[Spalte100],"A"),IF(AND(CZ5&lt;&gt;"Sa",CZ5&lt;&gt;"So"),COUNTIF(Tabelle1[Spalte100],"")-1,""))&lt;0,0,IF(AND(CZ4&lt;=TODAY(),CZ5&lt;&gt;"Sa",CZ5&lt;&gt;"So"),COUNTIF(Tabelle1[Spalte100],"A"),IF(AND(CZ5&lt;&gt;"Sa",CZ5&lt;&gt;"So"),COUNTIF(Tabelle1[Spalte100],"")-1,"")))</totalsRowFormula>
    </tableColumn>
    <tableColumn id="103" xr3:uid="{00000000-0010-0000-0000-000067000000}" name="Spalte101" totalsRowFunction="custom" dataDxfId="2198" totalsRowDxfId="269">
      <totalsRowFormula>IF(IF(AND(DA4&lt;=TODAY(),DA5&lt;&gt;"Sa",DA5&lt;&gt;"So"),COUNTIF(Tabelle1[Spalte101],"A"),IF(AND(DA5&lt;&gt;"Sa",DA5&lt;&gt;"So"),COUNTIF(Tabelle1[Spalte101],"")-1,""))&lt;0,0,IF(AND(DA4&lt;=TODAY(),DA5&lt;&gt;"Sa",DA5&lt;&gt;"So"),COUNTIF(Tabelle1[Spalte101],"A"),IF(AND(DA5&lt;&gt;"Sa",DA5&lt;&gt;"So"),COUNTIF(Tabelle1[Spalte101],"")-1,"")))</totalsRowFormula>
    </tableColumn>
    <tableColumn id="104" xr3:uid="{00000000-0010-0000-0000-000068000000}" name="Spalte102" totalsRowFunction="custom" dataDxfId="2197" totalsRowDxfId="268">
      <totalsRowFormula>IF(IF(AND(DB4&lt;=TODAY(),DB5&lt;&gt;"Sa",DB5&lt;&gt;"So"),COUNTIF(Tabelle1[Spalte102],"A"),IF(AND(DB5&lt;&gt;"Sa",DB5&lt;&gt;"So"),COUNTIF(Tabelle1[Spalte102],"")-1,""))&lt;0,0,IF(AND(DB4&lt;=TODAY(),DB5&lt;&gt;"Sa",DB5&lt;&gt;"So"),COUNTIF(Tabelle1[Spalte102],"A"),IF(AND(DB5&lt;&gt;"Sa",DB5&lt;&gt;"So"),COUNTIF(Tabelle1[Spalte102],"")-1,"")))</totalsRowFormula>
    </tableColumn>
    <tableColumn id="105" xr3:uid="{00000000-0010-0000-0000-000069000000}" name="Spalte103" totalsRowFunction="custom" dataDxfId="2196" totalsRowDxfId="267">
      <totalsRowFormula>IF(IF(AND(DC4&lt;=TODAY(),DC5&lt;&gt;"Sa",DC5&lt;&gt;"So"),COUNTIF(Tabelle1[Spalte103],"A"),IF(AND(DC5&lt;&gt;"Sa",DC5&lt;&gt;"So"),COUNTIF(Tabelle1[Spalte103],"")-1,""))&lt;0,0,IF(AND(DC4&lt;=TODAY(),DC5&lt;&gt;"Sa",DC5&lt;&gt;"So"),COUNTIF(Tabelle1[Spalte103],"A"),IF(AND(DC5&lt;&gt;"Sa",DC5&lt;&gt;"So"),COUNTIF(Tabelle1[Spalte103],"")-1,"")))</totalsRowFormula>
    </tableColumn>
    <tableColumn id="106" xr3:uid="{00000000-0010-0000-0000-00006A000000}" name="Spalte104" totalsRowFunction="custom" dataDxfId="2195" totalsRowDxfId="266">
      <totalsRowFormula>IF(IF(AND(DD4&lt;=TODAY(),DD5&lt;&gt;"Sa",DD5&lt;&gt;"So"),COUNTIF(Tabelle1[Spalte104],"A"),IF(AND(DD5&lt;&gt;"Sa",DD5&lt;&gt;"So"),COUNTIF(Tabelle1[Spalte104],"")-1,""))&lt;0,0,IF(AND(DD4&lt;=TODAY(),DD5&lt;&gt;"Sa",DD5&lt;&gt;"So"),COUNTIF(Tabelle1[Spalte104],"A"),IF(AND(DD5&lt;&gt;"Sa",DD5&lt;&gt;"So"),COUNTIF(Tabelle1[Spalte104],"")-1,"")))</totalsRowFormula>
    </tableColumn>
    <tableColumn id="107" xr3:uid="{00000000-0010-0000-0000-00006B000000}" name="Spalte105" totalsRowFunction="custom" dataDxfId="2194" totalsRowDxfId="265">
      <totalsRowFormula>IF(IF(AND(DE4&lt;=TODAY(),DE5&lt;&gt;"Sa",DE5&lt;&gt;"So"),COUNTIF(Tabelle1[Spalte105],"A"),IF(AND(DE5&lt;&gt;"Sa",DE5&lt;&gt;"So"),COUNTIF(Tabelle1[Spalte105],"")-1,""))&lt;0,0,IF(AND(DE4&lt;=TODAY(),DE5&lt;&gt;"Sa",DE5&lt;&gt;"So"),COUNTIF(Tabelle1[Spalte105],"A"),IF(AND(DE5&lt;&gt;"Sa",DE5&lt;&gt;"So"),COUNTIF(Tabelle1[Spalte105],"")-1,"")))</totalsRowFormula>
    </tableColumn>
    <tableColumn id="108" xr3:uid="{00000000-0010-0000-0000-00006C000000}" name="Spalte106" totalsRowFunction="custom" dataDxfId="2193" totalsRowDxfId="264">
      <totalsRowFormula>IF(IF(AND(DF4&lt;=TODAY(),DF5&lt;&gt;"Sa",DF5&lt;&gt;"So"),COUNTIF(Tabelle1[Spalte106],"A"),IF(AND(DF5&lt;&gt;"Sa",DF5&lt;&gt;"So"),COUNTIF(Tabelle1[Spalte106],"")-1,""))&lt;0,0,IF(AND(DF4&lt;=TODAY(),DF5&lt;&gt;"Sa",DF5&lt;&gt;"So"),COUNTIF(Tabelle1[Spalte106],"A"),IF(AND(DF5&lt;&gt;"Sa",DF5&lt;&gt;"So"),COUNTIF(Tabelle1[Spalte106],"")-1,"")))</totalsRowFormula>
    </tableColumn>
    <tableColumn id="109" xr3:uid="{00000000-0010-0000-0000-00006D000000}" name="Spalte107" totalsRowFunction="custom" dataDxfId="2192" totalsRowDxfId="263">
      <totalsRowFormula>IF(IF(AND(DG4&lt;=TODAY(),DG5&lt;&gt;"Sa",DG5&lt;&gt;"So"),COUNTIF(Tabelle1[Spalte107],"A"),IF(AND(DG5&lt;&gt;"Sa",DG5&lt;&gt;"So"),COUNTIF(Tabelle1[Spalte107],"")-1,""))&lt;0,0,IF(AND(DG4&lt;=TODAY(),DG5&lt;&gt;"Sa",DG5&lt;&gt;"So"),COUNTIF(Tabelle1[Spalte107],"A"),IF(AND(DG5&lt;&gt;"Sa",DG5&lt;&gt;"So"),COUNTIF(Tabelle1[Spalte107],"")-1,"")))</totalsRowFormula>
    </tableColumn>
    <tableColumn id="110" xr3:uid="{00000000-0010-0000-0000-00006E000000}" name="Spalte108" totalsRowFunction="custom" dataDxfId="2191" totalsRowDxfId="262">
      <totalsRowFormula>IF(IF(AND(DH4&lt;=TODAY(),DH5&lt;&gt;"Sa",DH5&lt;&gt;"So"),COUNTIF(Tabelle1[Spalte108],"A"),IF(AND(DH5&lt;&gt;"Sa",DH5&lt;&gt;"So"),COUNTIF(Tabelle1[Spalte108],"")-1,""))&lt;0,0,IF(AND(DH4&lt;=TODAY(),DH5&lt;&gt;"Sa",DH5&lt;&gt;"So"),COUNTIF(Tabelle1[Spalte108],"A"),IF(AND(DH5&lt;&gt;"Sa",DH5&lt;&gt;"So"),COUNTIF(Tabelle1[Spalte108],"")-1,"")))</totalsRowFormula>
    </tableColumn>
    <tableColumn id="111" xr3:uid="{00000000-0010-0000-0000-00006F000000}" name="Spalte109" totalsRowFunction="custom" dataDxfId="2190" totalsRowDxfId="261">
      <totalsRowFormula>IF(IF(AND(DI4&lt;=TODAY(),DI5&lt;&gt;"Sa",DI5&lt;&gt;"So"),COUNTIF(Tabelle1[Spalte109],"A"),IF(AND(DI5&lt;&gt;"Sa",DI5&lt;&gt;"So"),COUNTIF(Tabelle1[Spalte109],"")-1,""))&lt;0,0,IF(AND(DI4&lt;=TODAY(),DI5&lt;&gt;"Sa",DI5&lt;&gt;"So"),COUNTIF(Tabelle1[Spalte109],"A"),IF(AND(DI5&lt;&gt;"Sa",DI5&lt;&gt;"So"),COUNTIF(Tabelle1[Spalte109],"")-1,"")))</totalsRowFormula>
    </tableColumn>
    <tableColumn id="112" xr3:uid="{00000000-0010-0000-0000-000070000000}" name="Spalte110" totalsRowFunction="custom" dataDxfId="2189" totalsRowDxfId="260">
      <totalsRowFormula>IF(IF(AND(DJ4&lt;=TODAY(),DJ5&lt;&gt;"Sa",DJ5&lt;&gt;"So"),COUNTIF(Tabelle1[Spalte110],"A"),IF(AND(DJ5&lt;&gt;"Sa",DJ5&lt;&gt;"So"),COUNTIF(Tabelle1[Spalte110],"")-1,""))&lt;0,0,IF(AND(DJ4&lt;=TODAY(),DJ5&lt;&gt;"Sa",DJ5&lt;&gt;"So"),COUNTIF(Tabelle1[Spalte110],"A"),IF(AND(DJ5&lt;&gt;"Sa",DJ5&lt;&gt;"So"),COUNTIF(Tabelle1[Spalte110],"")-1,"")))</totalsRowFormula>
    </tableColumn>
    <tableColumn id="113" xr3:uid="{00000000-0010-0000-0000-000071000000}" name="Spalte111" totalsRowFunction="custom" dataDxfId="2188" totalsRowDxfId="259">
      <totalsRowFormula>IF(IF(AND(DK4&lt;=TODAY(),DK5&lt;&gt;"Sa",DK5&lt;&gt;"So"),COUNTIF(Tabelle1[Spalte111],"A"),IF(AND(DK5&lt;&gt;"Sa",DK5&lt;&gt;"So"),COUNTIF(Tabelle1[Spalte111],"")-1,""))&lt;0,0,IF(AND(DK4&lt;=TODAY(),DK5&lt;&gt;"Sa",DK5&lt;&gt;"So"),COUNTIF(Tabelle1[Spalte111],"A"),IF(AND(DK5&lt;&gt;"Sa",DK5&lt;&gt;"So"),COUNTIF(Tabelle1[Spalte111],"")-1,"")))</totalsRowFormula>
    </tableColumn>
    <tableColumn id="114" xr3:uid="{00000000-0010-0000-0000-000072000000}" name="Spalte112" totalsRowFunction="custom" dataDxfId="2187" totalsRowDxfId="258">
      <totalsRowFormula>IF(IF(AND(DL4&lt;=TODAY(),DL5&lt;&gt;"Sa",DL5&lt;&gt;"So"),COUNTIF(Tabelle1[Spalte112],"A"),IF(AND(DL5&lt;&gt;"Sa",DL5&lt;&gt;"So"),COUNTIF(Tabelle1[Spalte112],"")-1,""))&lt;0,0,IF(AND(DL4&lt;=TODAY(),DL5&lt;&gt;"Sa",DL5&lt;&gt;"So"),COUNTIF(Tabelle1[Spalte112],"A"),IF(AND(DL5&lt;&gt;"Sa",DL5&lt;&gt;"So"),COUNTIF(Tabelle1[Spalte112],"")-1,"")))</totalsRowFormula>
    </tableColumn>
    <tableColumn id="115" xr3:uid="{00000000-0010-0000-0000-000073000000}" name="Spalte113" totalsRowFunction="custom" dataDxfId="2186" totalsRowDxfId="257">
      <totalsRowFormula>IF(IF(AND(DM4&lt;=TODAY(),DM5&lt;&gt;"Sa",DM5&lt;&gt;"So"),COUNTIF(Tabelle1[Spalte113],"A"),IF(AND(DM5&lt;&gt;"Sa",DM5&lt;&gt;"So"),COUNTIF(Tabelle1[Spalte113],"")-1,""))&lt;0,0,IF(AND(DM4&lt;=TODAY(),DM5&lt;&gt;"Sa",DM5&lt;&gt;"So"),COUNTIF(Tabelle1[Spalte113],"A"),IF(AND(DM5&lt;&gt;"Sa",DM5&lt;&gt;"So"),COUNTIF(Tabelle1[Spalte113],"")-1,"")))</totalsRowFormula>
    </tableColumn>
    <tableColumn id="116" xr3:uid="{00000000-0010-0000-0000-000074000000}" name="Spalte114" totalsRowFunction="custom" dataDxfId="2185" totalsRowDxfId="256">
      <totalsRowFormula>IF(IF(AND(DN4&lt;=TODAY(),DN5&lt;&gt;"Sa",DN5&lt;&gt;"So"),COUNTIF(Tabelle1[Spalte114],"A"),IF(AND(DN5&lt;&gt;"Sa",DN5&lt;&gt;"So"),COUNTIF(Tabelle1[Spalte114],"")-1,""))&lt;0,0,IF(AND(DN4&lt;=TODAY(),DN5&lt;&gt;"Sa",DN5&lt;&gt;"So"),COUNTIF(Tabelle1[Spalte114],"A"),IF(AND(DN5&lt;&gt;"Sa",DN5&lt;&gt;"So"),COUNTIF(Tabelle1[Spalte114],"")-1,"")))</totalsRowFormula>
    </tableColumn>
    <tableColumn id="117" xr3:uid="{00000000-0010-0000-0000-000075000000}" name="Spalte115" totalsRowFunction="custom" dataDxfId="2184" totalsRowDxfId="255">
      <totalsRowFormula>IF(IF(AND(DO4&lt;=TODAY(),DO5&lt;&gt;"Sa",DO5&lt;&gt;"So"),COUNTIF(Tabelle1[Spalte115],"A"),IF(AND(DO5&lt;&gt;"Sa",DO5&lt;&gt;"So"),COUNTIF(Tabelle1[Spalte115],"")-1,""))&lt;0,0,IF(AND(DO4&lt;=TODAY(),DO5&lt;&gt;"Sa",DO5&lt;&gt;"So"),COUNTIF(Tabelle1[Spalte115],"A"),IF(AND(DO5&lt;&gt;"Sa",DO5&lt;&gt;"So"),COUNTIF(Tabelle1[Spalte115],"")-1,"")))</totalsRowFormula>
    </tableColumn>
    <tableColumn id="118" xr3:uid="{00000000-0010-0000-0000-000076000000}" name="Spalte116" totalsRowFunction="custom" dataDxfId="2183" totalsRowDxfId="254">
      <totalsRowFormula>IF(IF(AND(DP4&lt;=TODAY(),DP5&lt;&gt;"Sa",DP5&lt;&gt;"So"),COUNTIF(Tabelle1[Spalte116],"A"),IF(AND(DP5&lt;&gt;"Sa",DP5&lt;&gt;"So"),COUNTIF(Tabelle1[Spalte116],"")-1,""))&lt;0,0,IF(AND(DP4&lt;=TODAY(),DP5&lt;&gt;"Sa",DP5&lt;&gt;"So"),COUNTIF(Tabelle1[Spalte116],"A"),IF(AND(DP5&lt;&gt;"Sa",DP5&lt;&gt;"So"),COUNTIF(Tabelle1[Spalte116],"")-1,"")))</totalsRowFormula>
    </tableColumn>
    <tableColumn id="119" xr3:uid="{00000000-0010-0000-0000-000077000000}" name="Spalte117" totalsRowFunction="custom" dataDxfId="2182" totalsRowDxfId="253">
      <totalsRowFormula>IF(IF(AND(DQ4&lt;=TODAY(),DQ5&lt;&gt;"Sa",DQ5&lt;&gt;"So"),COUNTIF(Tabelle1[Spalte117],"A"),IF(AND(DQ5&lt;&gt;"Sa",DQ5&lt;&gt;"So"),COUNTIF(Tabelle1[Spalte117],"")-1,""))&lt;0,0,IF(AND(DQ4&lt;=TODAY(),DQ5&lt;&gt;"Sa",DQ5&lt;&gt;"So"),COUNTIF(Tabelle1[Spalte117],"A"),IF(AND(DQ5&lt;&gt;"Sa",DQ5&lt;&gt;"So"),COUNTIF(Tabelle1[Spalte117],"")-1,"")))</totalsRowFormula>
    </tableColumn>
    <tableColumn id="120" xr3:uid="{00000000-0010-0000-0000-000078000000}" name="Spalte118" totalsRowFunction="custom" dataDxfId="2181" totalsRowDxfId="252">
      <totalsRowFormula>IF(IF(AND(DR4&lt;=TODAY(),DR5&lt;&gt;"Sa",DR5&lt;&gt;"So"),COUNTIF(Tabelle1[Spalte118],"A"),IF(AND(DR5&lt;&gt;"Sa",DR5&lt;&gt;"So"),COUNTIF(Tabelle1[Spalte118],"")-1,""))&lt;0,0,IF(AND(DR4&lt;=TODAY(),DR5&lt;&gt;"Sa",DR5&lt;&gt;"So"),COUNTIF(Tabelle1[Spalte118],"A"),IF(AND(DR5&lt;&gt;"Sa",DR5&lt;&gt;"So"),COUNTIF(Tabelle1[Spalte118],"")-1,"")))</totalsRowFormula>
    </tableColumn>
    <tableColumn id="121" xr3:uid="{00000000-0010-0000-0000-000079000000}" name="Spalte119" totalsRowFunction="custom" dataDxfId="2180" totalsRowDxfId="251">
      <totalsRowFormula>IF(IF(AND(DS4&lt;=TODAY(),DS5&lt;&gt;"Sa",DS5&lt;&gt;"So"),COUNTIF(Tabelle1[Spalte119],"A"),IF(AND(DS5&lt;&gt;"Sa",DS5&lt;&gt;"So"),COUNTIF(Tabelle1[Spalte119],"")-1,""))&lt;0,0,IF(AND(DS4&lt;=TODAY(),DS5&lt;&gt;"Sa",DS5&lt;&gt;"So"),COUNTIF(Tabelle1[Spalte119],"A"),IF(AND(DS5&lt;&gt;"Sa",DS5&lt;&gt;"So"),COUNTIF(Tabelle1[Spalte119],"")-1,"")))</totalsRowFormula>
    </tableColumn>
    <tableColumn id="122" xr3:uid="{00000000-0010-0000-0000-00007A000000}" name="Spalte120" totalsRowFunction="custom" dataDxfId="2179" totalsRowDxfId="250">
      <totalsRowFormula>IF(IF(AND(DT4&lt;=TODAY(),DT5&lt;&gt;"Sa",DT5&lt;&gt;"So"),COUNTIF(Tabelle1[Spalte120],"A"),IF(AND(DT5&lt;&gt;"Sa",DT5&lt;&gt;"So"),COUNTIF(Tabelle1[Spalte120],"")-1,""))&lt;0,0,IF(AND(DT4&lt;=TODAY(),DT5&lt;&gt;"Sa",DT5&lt;&gt;"So"),COUNTIF(Tabelle1[Spalte120],"A"),IF(AND(DT5&lt;&gt;"Sa",DT5&lt;&gt;"So"),COUNTIF(Tabelle1[Spalte120],"")-1,"")))</totalsRowFormula>
    </tableColumn>
    <tableColumn id="123" xr3:uid="{00000000-0010-0000-0000-00007B000000}" name="Spalte121" totalsRowFunction="custom" dataDxfId="2178" totalsRowDxfId="249">
      <totalsRowFormula>IF(IF(AND(DU4&lt;=TODAY(),DU5&lt;&gt;"Sa",DU5&lt;&gt;"So"),COUNTIF(Tabelle1[Spalte121],"A"),IF(AND(DU5&lt;&gt;"Sa",DU5&lt;&gt;"So"),COUNTIF(Tabelle1[Spalte121],"")-1,""))&lt;0,0,IF(AND(DU4&lt;=TODAY(),DU5&lt;&gt;"Sa",DU5&lt;&gt;"So"),COUNTIF(Tabelle1[Spalte121],"A"),IF(AND(DU5&lt;&gt;"Sa",DU5&lt;&gt;"So"),COUNTIF(Tabelle1[Spalte121],"")-1,"")))</totalsRowFormula>
    </tableColumn>
    <tableColumn id="124" xr3:uid="{00000000-0010-0000-0000-00007C000000}" name="Spalte122" totalsRowFunction="custom" dataDxfId="2177" totalsRowDxfId="248">
      <totalsRowFormula>IF(IF(AND(DV4&lt;=TODAY(),DV5&lt;&gt;"Sa",DV5&lt;&gt;"So"),COUNTIF(Tabelle1[Spalte122],"A"),IF(AND(DV5&lt;&gt;"Sa",DV5&lt;&gt;"So"),COUNTIF(Tabelle1[Spalte122],"")-1,""))&lt;0,0,IF(AND(DV4&lt;=TODAY(),DV5&lt;&gt;"Sa",DV5&lt;&gt;"So"),COUNTIF(Tabelle1[Spalte122],"A"),IF(AND(DV5&lt;&gt;"Sa",DV5&lt;&gt;"So"),COUNTIF(Tabelle1[Spalte122],"")-1,"")))</totalsRowFormula>
    </tableColumn>
    <tableColumn id="125" xr3:uid="{00000000-0010-0000-0000-00007D000000}" name="Spalte123" totalsRowFunction="custom" dataDxfId="2176" totalsRowDxfId="247">
      <totalsRowFormula>IF(IF(AND(DW4&lt;=TODAY(),DW5&lt;&gt;"Sa",DW5&lt;&gt;"So"),COUNTIF(Tabelle1[Spalte123],"A"),IF(AND(DW5&lt;&gt;"Sa",DW5&lt;&gt;"So"),COUNTIF(Tabelle1[Spalte123],"")-1,""))&lt;0,0,IF(AND(DW4&lt;=TODAY(),DW5&lt;&gt;"Sa",DW5&lt;&gt;"So"),COUNTIF(Tabelle1[Spalte123],"A"),IF(AND(DW5&lt;&gt;"Sa",DW5&lt;&gt;"So"),COUNTIF(Tabelle1[Spalte123],"")-1,"")))</totalsRowFormula>
    </tableColumn>
    <tableColumn id="126" xr3:uid="{00000000-0010-0000-0000-00007E000000}" name="Spalte124" totalsRowFunction="custom" dataDxfId="2175" totalsRowDxfId="246">
      <totalsRowFormula>IF(IF(AND(DX4&lt;=TODAY(),DX5&lt;&gt;"Sa",DX5&lt;&gt;"So"),COUNTIF(Tabelle1[Spalte124],"A"),IF(AND(DX5&lt;&gt;"Sa",DX5&lt;&gt;"So"),COUNTIF(Tabelle1[Spalte124],"")-1,""))&lt;0,0,IF(AND(DX4&lt;=TODAY(),DX5&lt;&gt;"Sa",DX5&lt;&gt;"So"),COUNTIF(Tabelle1[Spalte124],"A"),IF(AND(DX5&lt;&gt;"Sa",DX5&lt;&gt;"So"),COUNTIF(Tabelle1[Spalte124],"")-1,"")))</totalsRowFormula>
    </tableColumn>
    <tableColumn id="127" xr3:uid="{00000000-0010-0000-0000-00007F000000}" name="Spalte125" totalsRowFunction="custom" dataDxfId="2174" totalsRowDxfId="245">
      <totalsRowFormula>IF(IF(AND(DY4&lt;=TODAY(),DY5&lt;&gt;"Sa",DY5&lt;&gt;"So"),COUNTIF(Tabelle1[Spalte125],"A"),IF(AND(DY5&lt;&gt;"Sa",DY5&lt;&gt;"So"),COUNTIF(Tabelle1[Spalte125],"")-1,""))&lt;0,0,IF(AND(DY4&lt;=TODAY(),DY5&lt;&gt;"Sa",DY5&lt;&gt;"So"),COUNTIF(Tabelle1[Spalte125],"A"),IF(AND(DY5&lt;&gt;"Sa",DY5&lt;&gt;"So"),COUNTIF(Tabelle1[Spalte125],"")-1,"")))</totalsRowFormula>
    </tableColumn>
    <tableColumn id="128" xr3:uid="{00000000-0010-0000-0000-000080000000}" name="Spalte126" totalsRowFunction="custom" dataDxfId="2173" totalsRowDxfId="244">
      <totalsRowFormula>IF(IF(AND(DZ4&lt;=TODAY(),DZ5&lt;&gt;"Sa",DZ5&lt;&gt;"So"),COUNTIF(Tabelle1[Spalte126],"A"),IF(AND(DZ5&lt;&gt;"Sa",DZ5&lt;&gt;"So"),COUNTIF(Tabelle1[Spalte126],"")-1,""))&lt;0,0,IF(AND(DZ4&lt;=TODAY(),DZ5&lt;&gt;"Sa",DZ5&lt;&gt;"So"),COUNTIF(Tabelle1[Spalte126],"A"),IF(AND(DZ5&lt;&gt;"Sa",DZ5&lt;&gt;"So"),COUNTIF(Tabelle1[Spalte126],"")-1,"")))</totalsRowFormula>
    </tableColumn>
    <tableColumn id="129" xr3:uid="{00000000-0010-0000-0000-000081000000}" name="Spalte127" totalsRowFunction="custom" dataDxfId="2172" totalsRowDxfId="243">
      <totalsRowFormula>IF(IF(AND(EA4&lt;=TODAY(),EA5&lt;&gt;"Sa",EA5&lt;&gt;"So"),COUNTIF(Tabelle1[Spalte127],"A"),IF(AND(EA5&lt;&gt;"Sa",EA5&lt;&gt;"So"),COUNTIF(Tabelle1[Spalte127],"")-1,""))&lt;0,0,IF(AND(EA4&lt;=TODAY(),EA5&lt;&gt;"Sa",EA5&lt;&gt;"So"),COUNTIF(Tabelle1[Spalte127],"A"),IF(AND(EA5&lt;&gt;"Sa",EA5&lt;&gt;"So"),COUNTIF(Tabelle1[Spalte127],"")-1,"")))</totalsRowFormula>
    </tableColumn>
    <tableColumn id="130" xr3:uid="{00000000-0010-0000-0000-000082000000}" name="Spalte128" totalsRowFunction="custom" dataDxfId="2171" totalsRowDxfId="242">
      <totalsRowFormula>IF(IF(AND(EB4&lt;=TODAY(),EB5&lt;&gt;"Sa",EB5&lt;&gt;"So"),COUNTIF(Tabelle1[Spalte128],"A"),IF(AND(EB5&lt;&gt;"Sa",EB5&lt;&gt;"So"),COUNTIF(Tabelle1[Spalte128],"")-1,""))&lt;0,0,IF(AND(EB4&lt;=TODAY(),EB5&lt;&gt;"Sa",EB5&lt;&gt;"So"),COUNTIF(Tabelle1[Spalte128],"A"),IF(AND(EB5&lt;&gt;"Sa",EB5&lt;&gt;"So"),COUNTIF(Tabelle1[Spalte128],"")-1,"")))</totalsRowFormula>
    </tableColumn>
    <tableColumn id="131" xr3:uid="{00000000-0010-0000-0000-000083000000}" name="Spalte129" totalsRowFunction="custom" dataDxfId="2170" totalsRowDxfId="241">
      <totalsRowFormula>IF(IF(AND(EC4&lt;=TODAY(),EC5&lt;&gt;"Sa",EC5&lt;&gt;"So"),COUNTIF(Tabelle1[Spalte129],"A"),IF(AND(EC5&lt;&gt;"Sa",EC5&lt;&gt;"So"),COUNTIF(Tabelle1[Spalte129],"")-1,""))&lt;0,0,IF(AND(EC4&lt;=TODAY(),EC5&lt;&gt;"Sa",EC5&lt;&gt;"So"),COUNTIF(Tabelle1[Spalte129],"A"),IF(AND(EC5&lt;&gt;"Sa",EC5&lt;&gt;"So"),COUNTIF(Tabelle1[Spalte129],"")-1,"")))</totalsRowFormula>
    </tableColumn>
    <tableColumn id="132" xr3:uid="{00000000-0010-0000-0000-000084000000}" name="Spalte130" totalsRowFunction="custom" dataDxfId="2169" totalsRowDxfId="240">
      <totalsRowFormula>IF(IF(AND(ED4&lt;=TODAY(),ED5&lt;&gt;"Sa",ED5&lt;&gt;"So"),COUNTIF(Tabelle1[Spalte130],"A"),IF(AND(ED5&lt;&gt;"Sa",ED5&lt;&gt;"So"),COUNTIF(Tabelle1[Spalte130],"")-1,""))&lt;0,0,IF(AND(ED4&lt;=TODAY(),ED5&lt;&gt;"Sa",ED5&lt;&gt;"So"),COUNTIF(Tabelle1[Spalte130],"A"),IF(AND(ED5&lt;&gt;"Sa",ED5&lt;&gt;"So"),COUNTIF(Tabelle1[Spalte130],"")-1,"")))</totalsRowFormula>
    </tableColumn>
    <tableColumn id="133" xr3:uid="{00000000-0010-0000-0000-000085000000}" name="Spalte131" totalsRowFunction="custom" dataDxfId="2168" totalsRowDxfId="239">
      <totalsRowFormula>IF(IF(AND(EE4&lt;=TODAY(),EE5&lt;&gt;"Sa",EE5&lt;&gt;"So"),COUNTIF(Tabelle1[Spalte131],"A"),IF(AND(EE5&lt;&gt;"Sa",EE5&lt;&gt;"So"),COUNTIF(Tabelle1[Spalte131],"")-1,""))&lt;0,0,IF(AND(EE4&lt;=TODAY(),EE5&lt;&gt;"Sa",EE5&lt;&gt;"So"),COUNTIF(Tabelle1[Spalte131],"A"),IF(AND(EE5&lt;&gt;"Sa",EE5&lt;&gt;"So"),COUNTIF(Tabelle1[Spalte131],"")-1,"")))</totalsRowFormula>
    </tableColumn>
    <tableColumn id="134" xr3:uid="{00000000-0010-0000-0000-000086000000}" name="Spalte132" totalsRowFunction="custom" dataDxfId="2167" totalsRowDxfId="238">
      <totalsRowFormula>IF(IF(AND(EF4&lt;=TODAY(),EF5&lt;&gt;"Sa",EF5&lt;&gt;"So"),COUNTIF(Tabelle1[Spalte132],"A"),IF(AND(EF5&lt;&gt;"Sa",EF5&lt;&gt;"So"),COUNTIF(Tabelle1[Spalte132],"")-1,""))&lt;0,0,IF(AND(EF4&lt;=TODAY(),EF5&lt;&gt;"Sa",EF5&lt;&gt;"So"),COUNTIF(Tabelle1[Spalte132],"A"),IF(AND(EF5&lt;&gt;"Sa",EF5&lt;&gt;"So"),COUNTIF(Tabelle1[Spalte132],"")-1,"")))</totalsRowFormula>
    </tableColumn>
    <tableColumn id="135" xr3:uid="{00000000-0010-0000-0000-000087000000}" name="Spalte133" totalsRowFunction="custom" dataDxfId="2166" totalsRowDxfId="237">
      <totalsRowFormula>IF(IF(AND(EG4&lt;=TODAY(),EG5&lt;&gt;"Sa",EG5&lt;&gt;"So"),COUNTIF(Tabelle1[Spalte133],"A"),IF(AND(EG5&lt;&gt;"Sa",EG5&lt;&gt;"So"),COUNTIF(Tabelle1[Spalte133],"")-1,""))&lt;0,0,IF(AND(EG4&lt;=TODAY(),EG5&lt;&gt;"Sa",EG5&lt;&gt;"So"),COUNTIF(Tabelle1[Spalte133],"A"),IF(AND(EG5&lt;&gt;"Sa",EG5&lt;&gt;"So"),COUNTIF(Tabelle1[Spalte133],"")-1,"")))</totalsRowFormula>
    </tableColumn>
    <tableColumn id="136" xr3:uid="{00000000-0010-0000-0000-000088000000}" name="Spalte134" totalsRowFunction="custom" dataDxfId="2165" totalsRowDxfId="236">
      <totalsRowFormula>IF(IF(AND(EH4&lt;=TODAY(),EH5&lt;&gt;"Sa",EH5&lt;&gt;"So"),COUNTIF(Tabelle1[Spalte134],"A"),IF(AND(EH5&lt;&gt;"Sa",EH5&lt;&gt;"So"),COUNTIF(Tabelle1[Spalte134],"")-1,""))&lt;0,0,IF(AND(EH4&lt;=TODAY(),EH5&lt;&gt;"Sa",EH5&lt;&gt;"So"),COUNTIF(Tabelle1[Spalte134],"A"),IF(AND(EH5&lt;&gt;"Sa",EH5&lt;&gt;"So"),COUNTIF(Tabelle1[Spalte134],"")-1,"")))</totalsRowFormula>
    </tableColumn>
    <tableColumn id="137" xr3:uid="{00000000-0010-0000-0000-000089000000}" name="Spalte135" totalsRowFunction="custom" dataDxfId="2164" totalsRowDxfId="235">
      <totalsRowFormula>IF(IF(AND(EI4&lt;=TODAY(),EI5&lt;&gt;"Sa",EI5&lt;&gt;"So"),COUNTIF(Tabelle1[Spalte135],"A"),IF(AND(EI5&lt;&gt;"Sa",EI5&lt;&gt;"So"),COUNTIF(Tabelle1[Spalte135],"")-1,""))&lt;0,0,IF(AND(EI4&lt;=TODAY(),EI5&lt;&gt;"Sa",EI5&lt;&gt;"So"),COUNTIF(Tabelle1[Spalte135],"A"),IF(AND(EI5&lt;&gt;"Sa",EI5&lt;&gt;"So"),COUNTIF(Tabelle1[Spalte135],"")-1,"")))</totalsRowFormula>
    </tableColumn>
    <tableColumn id="138" xr3:uid="{00000000-0010-0000-0000-00008A000000}" name="Spalte136" totalsRowFunction="custom" dataDxfId="2163" totalsRowDxfId="234">
      <totalsRowFormula>IF(IF(AND(EJ4&lt;=TODAY(),EJ5&lt;&gt;"Sa",EJ5&lt;&gt;"So"),COUNTIF(Tabelle1[Spalte136],"A"),IF(AND(EJ5&lt;&gt;"Sa",EJ5&lt;&gt;"So"),COUNTIF(Tabelle1[Spalte136],"")-1,""))&lt;0,0,IF(AND(EJ4&lt;=TODAY(),EJ5&lt;&gt;"Sa",EJ5&lt;&gt;"So"),COUNTIF(Tabelle1[Spalte136],"A"),IF(AND(EJ5&lt;&gt;"Sa",EJ5&lt;&gt;"So"),COUNTIF(Tabelle1[Spalte136],"")-1,"")))</totalsRowFormula>
    </tableColumn>
    <tableColumn id="139" xr3:uid="{00000000-0010-0000-0000-00008B000000}" name="Spalte137" totalsRowFunction="custom" dataDxfId="2162" totalsRowDxfId="233">
      <totalsRowFormula>IF(IF(AND(EK4&lt;=TODAY(),EK5&lt;&gt;"Sa",EK5&lt;&gt;"So"),COUNTIF(Tabelle1[Spalte137],"A"),IF(AND(EK5&lt;&gt;"Sa",EK5&lt;&gt;"So"),COUNTIF(Tabelle1[Spalte137],"")-1,""))&lt;0,0,IF(AND(EK4&lt;=TODAY(),EK5&lt;&gt;"Sa",EK5&lt;&gt;"So"),COUNTIF(Tabelle1[Spalte137],"A"),IF(AND(EK5&lt;&gt;"Sa",EK5&lt;&gt;"So"),COUNTIF(Tabelle1[Spalte137],"")-1,"")))</totalsRowFormula>
    </tableColumn>
    <tableColumn id="140" xr3:uid="{00000000-0010-0000-0000-00008C000000}" name="Spalte138" totalsRowFunction="custom" dataDxfId="2161" totalsRowDxfId="232">
      <totalsRowFormula>IF(IF(AND(EL4&lt;=TODAY(),EL5&lt;&gt;"Sa",EL5&lt;&gt;"So"),COUNTIF(Tabelle1[Spalte138],"A"),IF(AND(EL5&lt;&gt;"Sa",EL5&lt;&gt;"So"),COUNTIF(Tabelle1[Spalte138],"")-1,""))&lt;0,0,IF(AND(EL4&lt;=TODAY(),EL5&lt;&gt;"Sa",EL5&lt;&gt;"So"),COUNTIF(Tabelle1[Spalte138],"A"),IF(AND(EL5&lt;&gt;"Sa",EL5&lt;&gt;"So"),COUNTIF(Tabelle1[Spalte138],"")-1,"")))</totalsRowFormula>
    </tableColumn>
    <tableColumn id="141" xr3:uid="{00000000-0010-0000-0000-00008D000000}" name="Spalte139" totalsRowFunction="custom" dataDxfId="2160" totalsRowDxfId="231">
      <totalsRowFormula>IF(IF(AND(EM4&lt;=TODAY(),EM5&lt;&gt;"Sa",EM5&lt;&gt;"So"),COUNTIF(Tabelle1[Spalte139],"A"),IF(AND(EM5&lt;&gt;"Sa",EM5&lt;&gt;"So"),COUNTIF(Tabelle1[Spalte139],"")-1,""))&lt;0,0,IF(AND(EM4&lt;=TODAY(),EM5&lt;&gt;"Sa",EM5&lt;&gt;"So"),COUNTIF(Tabelle1[Spalte139],"A"),IF(AND(EM5&lt;&gt;"Sa",EM5&lt;&gt;"So"),COUNTIF(Tabelle1[Spalte139],"")-1,"")))</totalsRowFormula>
    </tableColumn>
    <tableColumn id="142" xr3:uid="{00000000-0010-0000-0000-00008E000000}" name="Spalte140" totalsRowFunction="custom" dataDxfId="2159" totalsRowDxfId="230">
      <totalsRowFormula>IF(IF(AND(EN4&lt;=TODAY(),EN5&lt;&gt;"Sa",EN5&lt;&gt;"So"),COUNTIF(Tabelle1[Spalte140],"A"),IF(AND(EN5&lt;&gt;"Sa",EN5&lt;&gt;"So"),COUNTIF(Tabelle1[Spalte140],"")-1,""))&lt;0,0,IF(AND(EN4&lt;=TODAY(),EN5&lt;&gt;"Sa",EN5&lt;&gt;"So"),COUNTIF(Tabelle1[Spalte140],"A"),IF(AND(EN5&lt;&gt;"Sa",EN5&lt;&gt;"So"),COUNTIF(Tabelle1[Spalte140],"")-1,"")))</totalsRowFormula>
    </tableColumn>
    <tableColumn id="143" xr3:uid="{00000000-0010-0000-0000-00008F000000}" name="Spalte141" totalsRowFunction="custom" dataDxfId="2158" totalsRowDxfId="229">
      <totalsRowFormula>IF(IF(AND(EO4&lt;=TODAY(),EO5&lt;&gt;"Sa",EO5&lt;&gt;"So"),COUNTIF(Tabelle1[Spalte141],"A"),IF(AND(EO5&lt;&gt;"Sa",EO5&lt;&gt;"So"),COUNTIF(Tabelle1[Spalte141],"")-1,""))&lt;0,0,IF(AND(EO4&lt;=TODAY(),EO5&lt;&gt;"Sa",EO5&lt;&gt;"So"),COUNTIF(Tabelle1[Spalte141],"A"),IF(AND(EO5&lt;&gt;"Sa",EO5&lt;&gt;"So"),COUNTIF(Tabelle1[Spalte141],"")-1,"")))</totalsRowFormula>
    </tableColumn>
    <tableColumn id="144" xr3:uid="{00000000-0010-0000-0000-000090000000}" name="Spalte142" totalsRowFunction="custom" dataDxfId="2157" totalsRowDxfId="228">
      <totalsRowFormula>IF(IF(AND(EP4&lt;=TODAY(),EP5&lt;&gt;"Sa",EP5&lt;&gt;"So"),COUNTIF(Tabelle1[Spalte142],"A"),IF(AND(EP5&lt;&gt;"Sa",EP5&lt;&gt;"So"),COUNTIF(Tabelle1[Spalte142],"")-1,""))&lt;0,0,IF(AND(EP4&lt;=TODAY(),EP5&lt;&gt;"Sa",EP5&lt;&gt;"So"),COUNTIF(Tabelle1[Spalte142],"A"),IF(AND(EP5&lt;&gt;"Sa",EP5&lt;&gt;"So"),COUNTIF(Tabelle1[Spalte142],"")-1,"")))</totalsRowFormula>
    </tableColumn>
    <tableColumn id="145" xr3:uid="{00000000-0010-0000-0000-000091000000}" name="Spalte143" totalsRowFunction="custom" dataDxfId="2156" totalsRowDxfId="227">
      <totalsRowFormula>IF(IF(AND(EQ4&lt;=TODAY(),EQ5&lt;&gt;"Sa",EQ5&lt;&gt;"So"),COUNTIF(Tabelle1[Spalte143],"A"),IF(AND(EQ5&lt;&gt;"Sa",EQ5&lt;&gt;"So"),COUNTIF(Tabelle1[Spalte143],"")-1,""))&lt;0,0,IF(AND(EQ4&lt;=TODAY(),EQ5&lt;&gt;"Sa",EQ5&lt;&gt;"So"),COUNTIF(Tabelle1[Spalte143],"A"),IF(AND(EQ5&lt;&gt;"Sa",EQ5&lt;&gt;"So"),COUNTIF(Tabelle1[Spalte143],"")-1,"")))</totalsRowFormula>
    </tableColumn>
    <tableColumn id="146" xr3:uid="{00000000-0010-0000-0000-000092000000}" name="Spalte144" totalsRowFunction="custom" dataDxfId="2155" totalsRowDxfId="226">
      <totalsRowFormula>IF(IF(AND(ER4&lt;=TODAY(),ER5&lt;&gt;"Sa",ER5&lt;&gt;"So"),COUNTIF(Tabelle1[Spalte144],"A"),IF(AND(ER5&lt;&gt;"Sa",ER5&lt;&gt;"So"),COUNTIF(Tabelle1[Spalte144],"")-1,""))&lt;0,0,IF(AND(ER4&lt;=TODAY(),ER5&lt;&gt;"Sa",ER5&lt;&gt;"So"),COUNTIF(Tabelle1[Spalte144],"A"),IF(AND(ER5&lt;&gt;"Sa",ER5&lt;&gt;"So"),COUNTIF(Tabelle1[Spalte144],"")-1,"")))</totalsRowFormula>
    </tableColumn>
    <tableColumn id="147" xr3:uid="{00000000-0010-0000-0000-000093000000}" name="Spalte145" totalsRowFunction="custom" dataDxfId="2154" totalsRowDxfId="225">
      <totalsRowFormula>IF(IF(AND(ES4&lt;=TODAY(),ES5&lt;&gt;"Sa",ES5&lt;&gt;"So"),COUNTIF(Tabelle1[Spalte145],"A"),IF(AND(ES5&lt;&gt;"Sa",ES5&lt;&gt;"So"),COUNTIF(Tabelle1[Spalte145],"")-1,""))&lt;0,0,IF(AND(ES4&lt;=TODAY(),ES5&lt;&gt;"Sa",ES5&lt;&gt;"So"),COUNTIF(Tabelle1[Spalte145],"A"),IF(AND(ES5&lt;&gt;"Sa",ES5&lt;&gt;"So"),COUNTIF(Tabelle1[Spalte145],"")-1,"")))</totalsRowFormula>
    </tableColumn>
    <tableColumn id="148" xr3:uid="{00000000-0010-0000-0000-000094000000}" name="Spalte146" totalsRowFunction="custom" dataDxfId="2153" totalsRowDxfId="224">
      <totalsRowFormula>IF(IF(AND(ET4&lt;=TODAY(),ET5&lt;&gt;"Sa",ET5&lt;&gt;"So"),COUNTIF(Tabelle1[Spalte146],"A"),IF(AND(ET5&lt;&gt;"Sa",ET5&lt;&gt;"So"),COUNTIF(Tabelle1[Spalte146],"")-1,""))&lt;0,0,IF(AND(ET4&lt;=TODAY(),ET5&lt;&gt;"Sa",ET5&lt;&gt;"So"),COUNTIF(Tabelle1[Spalte146],"A"),IF(AND(ET5&lt;&gt;"Sa",ET5&lt;&gt;"So"),COUNTIF(Tabelle1[Spalte146],"")-1,"")))</totalsRowFormula>
    </tableColumn>
    <tableColumn id="149" xr3:uid="{00000000-0010-0000-0000-000095000000}" name="Spalte147" totalsRowFunction="custom" dataDxfId="2152" totalsRowDxfId="223">
      <totalsRowFormula>IF(IF(AND(EU4&lt;=TODAY(),EU5&lt;&gt;"Sa",EU5&lt;&gt;"So"),COUNTIF(Tabelle1[Spalte147],"A"),IF(AND(EU5&lt;&gt;"Sa",EU5&lt;&gt;"So"),COUNTIF(Tabelle1[Spalte147],"")-1,""))&lt;0,0,IF(AND(EU4&lt;=TODAY(),EU5&lt;&gt;"Sa",EU5&lt;&gt;"So"),COUNTIF(Tabelle1[Spalte147],"A"),IF(AND(EU5&lt;&gt;"Sa",EU5&lt;&gt;"So"),COUNTIF(Tabelle1[Spalte147],"")-1,"")))</totalsRowFormula>
    </tableColumn>
    <tableColumn id="150" xr3:uid="{00000000-0010-0000-0000-000096000000}" name="Spalte148" totalsRowFunction="custom" dataDxfId="2151" totalsRowDxfId="222">
      <totalsRowFormula>IF(IF(AND(EV4&lt;=TODAY(),EV5&lt;&gt;"Sa",EV5&lt;&gt;"So"),COUNTIF(Tabelle1[Spalte148],"A"),IF(AND(EV5&lt;&gt;"Sa",EV5&lt;&gt;"So"),COUNTIF(Tabelle1[Spalte148],"")-1,""))&lt;0,0,IF(AND(EV4&lt;=TODAY(),EV5&lt;&gt;"Sa",EV5&lt;&gt;"So"),COUNTIF(Tabelle1[Spalte148],"A"),IF(AND(EV5&lt;&gt;"Sa",EV5&lt;&gt;"So"),COUNTIF(Tabelle1[Spalte148],"")-1,"")))</totalsRowFormula>
    </tableColumn>
    <tableColumn id="151" xr3:uid="{00000000-0010-0000-0000-000097000000}" name="Spalte149" totalsRowFunction="custom" dataDxfId="2150" totalsRowDxfId="221">
      <totalsRowFormula>IF(IF(AND(EW4&lt;=TODAY(),EW5&lt;&gt;"Sa",EW5&lt;&gt;"So"),COUNTIF(Tabelle1[Spalte149],"A"),IF(AND(EW5&lt;&gt;"Sa",EW5&lt;&gt;"So"),COUNTIF(Tabelle1[Spalte149],"")-1,""))&lt;0,0,IF(AND(EW4&lt;=TODAY(),EW5&lt;&gt;"Sa",EW5&lt;&gt;"So"),COUNTIF(Tabelle1[Spalte149],"A"),IF(AND(EW5&lt;&gt;"Sa",EW5&lt;&gt;"So"),COUNTIF(Tabelle1[Spalte149],"")-1,"")))</totalsRowFormula>
    </tableColumn>
    <tableColumn id="152" xr3:uid="{00000000-0010-0000-0000-000098000000}" name="Spalte150" totalsRowFunction="custom" dataDxfId="2149" totalsRowDxfId="220">
      <totalsRowFormula>IF(IF(AND(EX4&lt;=TODAY(),EX5&lt;&gt;"Sa",EX5&lt;&gt;"So"),COUNTIF(Tabelle1[Spalte150],"A"),IF(AND(EX5&lt;&gt;"Sa",EX5&lt;&gt;"So"),COUNTIF(Tabelle1[Spalte150],"")-1,""))&lt;0,0,IF(AND(EX4&lt;=TODAY(),EX5&lt;&gt;"Sa",EX5&lt;&gt;"So"),COUNTIF(Tabelle1[Spalte150],"A"),IF(AND(EX5&lt;&gt;"Sa",EX5&lt;&gt;"So"),COUNTIF(Tabelle1[Spalte150],"")-1,"")))</totalsRowFormula>
    </tableColumn>
    <tableColumn id="153" xr3:uid="{00000000-0010-0000-0000-000099000000}" name="Spalte151" totalsRowFunction="custom" dataDxfId="2148" totalsRowDxfId="219">
      <totalsRowFormula>IF(IF(AND(EY4&lt;=TODAY(),EY5&lt;&gt;"Sa",EY5&lt;&gt;"So"),COUNTIF(Tabelle1[Spalte151],"A"),IF(AND(EY5&lt;&gt;"Sa",EY5&lt;&gt;"So"),COUNTIF(Tabelle1[Spalte151],"")-1,""))&lt;0,0,IF(AND(EY4&lt;=TODAY(),EY5&lt;&gt;"Sa",EY5&lt;&gt;"So"),COUNTIF(Tabelle1[Spalte151],"A"),IF(AND(EY5&lt;&gt;"Sa",EY5&lt;&gt;"So"),COUNTIF(Tabelle1[Spalte151],"")-1,"")))</totalsRowFormula>
    </tableColumn>
    <tableColumn id="154" xr3:uid="{00000000-0010-0000-0000-00009A000000}" name="Spalte152" totalsRowFunction="custom" dataDxfId="2147" totalsRowDxfId="218">
      <totalsRowFormula>IF(IF(AND(EZ4&lt;=TODAY(),EZ5&lt;&gt;"Sa",EZ5&lt;&gt;"So"),COUNTIF(Tabelle1[Spalte152],"A"),IF(AND(EZ5&lt;&gt;"Sa",EZ5&lt;&gt;"So"),COUNTIF(Tabelle1[Spalte152],"")-1,""))&lt;0,0,IF(AND(EZ4&lt;=TODAY(),EZ5&lt;&gt;"Sa",EZ5&lt;&gt;"So"),COUNTIF(Tabelle1[Spalte152],"A"),IF(AND(EZ5&lt;&gt;"Sa",EZ5&lt;&gt;"So"),COUNTIF(Tabelle1[Spalte152],"")-1,"")))</totalsRowFormula>
    </tableColumn>
    <tableColumn id="155" xr3:uid="{00000000-0010-0000-0000-00009B000000}" name="Spalte153" totalsRowFunction="custom" dataDxfId="2146" totalsRowDxfId="217">
      <totalsRowFormula>IF(IF(AND(FA4&lt;=TODAY(),FA5&lt;&gt;"Sa",FA5&lt;&gt;"So"),COUNTIF(Tabelle1[Spalte153],"A"),IF(AND(FA5&lt;&gt;"Sa",FA5&lt;&gt;"So"),COUNTIF(Tabelle1[Spalte153],"")-1,""))&lt;0,0,IF(AND(FA4&lt;=TODAY(),FA5&lt;&gt;"Sa",FA5&lt;&gt;"So"),COUNTIF(Tabelle1[Spalte153],"A"),IF(AND(FA5&lt;&gt;"Sa",FA5&lt;&gt;"So"),COUNTIF(Tabelle1[Spalte153],"")-1,"")))</totalsRowFormula>
    </tableColumn>
    <tableColumn id="156" xr3:uid="{00000000-0010-0000-0000-00009C000000}" name="Spalte154" totalsRowFunction="custom" dataDxfId="2145" totalsRowDxfId="216">
      <totalsRowFormula>IF(IF(AND(FB4&lt;=TODAY(),FB5&lt;&gt;"Sa",FB5&lt;&gt;"So"),COUNTIF(Tabelle1[Spalte154],"A"),IF(AND(FB5&lt;&gt;"Sa",FB5&lt;&gt;"So"),COUNTIF(Tabelle1[Spalte154],"")-1,""))&lt;0,0,IF(AND(FB4&lt;=TODAY(),FB5&lt;&gt;"Sa",FB5&lt;&gt;"So"),COUNTIF(Tabelle1[Spalte154],"A"),IF(AND(FB5&lt;&gt;"Sa",FB5&lt;&gt;"So"),COUNTIF(Tabelle1[Spalte154],"")-1,"")))</totalsRowFormula>
    </tableColumn>
    <tableColumn id="157" xr3:uid="{00000000-0010-0000-0000-00009D000000}" name="Spalte155" totalsRowFunction="custom" dataDxfId="2144" totalsRowDxfId="215">
      <totalsRowFormula>IF(IF(AND(FC4&lt;=TODAY(),FC5&lt;&gt;"Sa",FC5&lt;&gt;"So"),COUNTIF(Tabelle1[Spalte155],"A"),IF(AND(FC5&lt;&gt;"Sa",FC5&lt;&gt;"So"),COUNTIF(Tabelle1[Spalte155],"")-1,""))&lt;0,0,IF(AND(FC4&lt;=TODAY(),FC5&lt;&gt;"Sa",FC5&lt;&gt;"So"),COUNTIF(Tabelle1[Spalte155],"A"),IF(AND(FC5&lt;&gt;"Sa",FC5&lt;&gt;"So"),COUNTIF(Tabelle1[Spalte155],"")-1,"")))</totalsRowFormula>
    </tableColumn>
    <tableColumn id="158" xr3:uid="{00000000-0010-0000-0000-00009E000000}" name="Spalte156" totalsRowFunction="custom" dataDxfId="2143" totalsRowDxfId="214">
      <totalsRowFormula>IF(IF(AND(FD4&lt;=TODAY(),FD5&lt;&gt;"Sa",FD5&lt;&gt;"So"),COUNTIF(Tabelle1[Spalte156],"A"),IF(AND(FD5&lt;&gt;"Sa",FD5&lt;&gt;"So"),COUNTIF(Tabelle1[Spalte156],"")-1,""))&lt;0,0,IF(AND(FD4&lt;=TODAY(),FD5&lt;&gt;"Sa",FD5&lt;&gt;"So"),COUNTIF(Tabelle1[Spalte156],"A"),IF(AND(FD5&lt;&gt;"Sa",FD5&lt;&gt;"So"),COUNTIF(Tabelle1[Spalte156],"")-1,"")))</totalsRowFormula>
    </tableColumn>
    <tableColumn id="159" xr3:uid="{00000000-0010-0000-0000-00009F000000}" name="Spalte157" totalsRowFunction="custom" dataDxfId="2142" totalsRowDxfId="213">
      <totalsRowFormula>IF(IF(AND(FE4&lt;=TODAY(),FE5&lt;&gt;"Sa",FE5&lt;&gt;"So"),COUNTIF(Tabelle1[Spalte157],"A"),IF(AND(FE5&lt;&gt;"Sa",FE5&lt;&gt;"So"),COUNTIF(Tabelle1[Spalte157],"")-1,""))&lt;0,0,IF(AND(FE4&lt;=TODAY(),FE5&lt;&gt;"Sa",FE5&lt;&gt;"So"),COUNTIF(Tabelle1[Spalte157],"A"),IF(AND(FE5&lt;&gt;"Sa",FE5&lt;&gt;"So"),COUNTIF(Tabelle1[Spalte157],"")-1,"")))</totalsRowFormula>
    </tableColumn>
    <tableColumn id="160" xr3:uid="{00000000-0010-0000-0000-0000A0000000}" name="Spalte158" totalsRowFunction="custom" dataDxfId="2141" totalsRowDxfId="212">
      <totalsRowFormula>IF(IF(AND(FF4&lt;=TODAY(),FF5&lt;&gt;"Sa",FF5&lt;&gt;"So"),COUNTIF(Tabelle1[Spalte158],"A"),IF(AND(FF5&lt;&gt;"Sa",FF5&lt;&gt;"So"),COUNTIF(Tabelle1[Spalte158],"")-1,""))&lt;0,0,IF(AND(FF4&lt;=TODAY(),FF5&lt;&gt;"Sa",FF5&lt;&gt;"So"),COUNTIF(Tabelle1[Spalte158],"A"),IF(AND(FF5&lt;&gt;"Sa",FF5&lt;&gt;"So"),COUNTIF(Tabelle1[Spalte158],"")-1,"")))</totalsRowFormula>
    </tableColumn>
    <tableColumn id="161" xr3:uid="{00000000-0010-0000-0000-0000A1000000}" name="Spalte159" totalsRowFunction="custom" dataDxfId="2140" totalsRowDxfId="211">
      <totalsRowFormula>IF(IF(AND(FG4&lt;=TODAY(),FG5&lt;&gt;"Sa",FG5&lt;&gt;"So"),COUNTIF(Tabelle1[Spalte159],"A"),IF(AND(FG5&lt;&gt;"Sa",FG5&lt;&gt;"So"),COUNTIF(Tabelle1[Spalte159],"")-1,""))&lt;0,0,IF(AND(FG4&lt;=TODAY(),FG5&lt;&gt;"Sa",FG5&lt;&gt;"So"),COUNTIF(Tabelle1[Spalte159],"A"),IF(AND(FG5&lt;&gt;"Sa",FG5&lt;&gt;"So"),COUNTIF(Tabelle1[Spalte159],"")-1,"")))</totalsRowFormula>
    </tableColumn>
    <tableColumn id="162" xr3:uid="{00000000-0010-0000-0000-0000A2000000}" name="Spalte160" totalsRowFunction="custom" dataDxfId="2139" totalsRowDxfId="210">
      <totalsRowFormula>IF(IF(AND(FH4&lt;=TODAY(),FH5&lt;&gt;"Sa",FH5&lt;&gt;"So"),COUNTIF(Tabelle1[Spalte160],"A"),IF(AND(FH5&lt;&gt;"Sa",FH5&lt;&gt;"So"),COUNTIF(Tabelle1[Spalte160],"")-1,""))&lt;0,0,IF(AND(FH4&lt;=TODAY(),FH5&lt;&gt;"Sa",FH5&lt;&gt;"So"),COUNTIF(Tabelle1[Spalte160],"A"),IF(AND(FH5&lt;&gt;"Sa",FH5&lt;&gt;"So"),COUNTIF(Tabelle1[Spalte160],"")-1,"")))</totalsRowFormula>
    </tableColumn>
    <tableColumn id="163" xr3:uid="{00000000-0010-0000-0000-0000A3000000}" name="Spalte161" totalsRowFunction="custom" dataDxfId="2138" totalsRowDxfId="209">
      <totalsRowFormula>IF(IF(AND(FI4&lt;=TODAY(),FI5&lt;&gt;"Sa",FI5&lt;&gt;"So"),COUNTIF(Tabelle1[Spalte161],"A"),IF(AND(FI5&lt;&gt;"Sa",FI5&lt;&gt;"So"),COUNTIF(Tabelle1[Spalte161],"")-1,""))&lt;0,0,IF(AND(FI4&lt;=TODAY(),FI5&lt;&gt;"Sa",FI5&lt;&gt;"So"),COUNTIF(Tabelle1[Spalte161],"A"),IF(AND(FI5&lt;&gt;"Sa",FI5&lt;&gt;"So"),COUNTIF(Tabelle1[Spalte161],"")-1,"")))</totalsRowFormula>
    </tableColumn>
    <tableColumn id="164" xr3:uid="{00000000-0010-0000-0000-0000A4000000}" name="Spalte162" totalsRowFunction="custom" dataDxfId="2137" totalsRowDxfId="208">
      <totalsRowFormula>IF(IF(AND(FJ4&lt;=TODAY(),FJ5&lt;&gt;"Sa",FJ5&lt;&gt;"So"),COUNTIF(Tabelle1[Spalte162],"A"),IF(AND(FJ5&lt;&gt;"Sa",FJ5&lt;&gt;"So"),COUNTIF(Tabelle1[Spalte162],"")-1,""))&lt;0,0,IF(AND(FJ4&lt;=TODAY(),FJ5&lt;&gt;"Sa",FJ5&lt;&gt;"So"),COUNTIF(Tabelle1[Spalte162],"A"),IF(AND(FJ5&lt;&gt;"Sa",FJ5&lt;&gt;"So"),COUNTIF(Tabelle1[Spalte162],"")-1,"")))</totalsRowFormula>
    </tableColumn>
    <tableColumn id="165" xr3:uid="{00000000-0010-0000-0000-0000A5000000}" name="Spalte163" totalsRowFunction="custom" dataDxfId="2136" totalsRowDxfId="207">
      <totalsRowFormula>IF(IF(AND(FK4&lt;=TODAY(),FK5&lt;&gt;"Sa",FK5&lt;&gt;"So"),COUNTIF(Tabelle1[Spalte163],"A"),IF(AND(FK5&lt;&gt;"Sa",FK5&lt;&gt;"So"),COUNTIF(Tabelle1[Spalte163],"")-1,""))&lt;0,0,IF(AND(FK4&lt;=TODAY(),FK5&lt;&gt;"Sa",FK5&lt;&gt;"So"),COUNTIF(Tabelle1[Spalte163],"A"),IF(AND(FK5&lt;&gt;"Sa",FK5&lt;&gt;"So"),COUNTIF(Tabelle1[Spalte163],"")-1,"")))</totalsRowFormula>
    </tableColumn>
    <tableColumn id="166" xr3:uid="{00000000-0010-0000-0000-0000A6000000}" name="Spalte164" totalsRowFunction="custom" dataDxfId="2135" totalsRowDxfId="206">
      <totalsRowFormula>IF(IF(AND(FL4&lt;=TODAY(),FL5&lt;&gt;"Sa",FL5&lt;&gt;"So"),COUNTIF(Tabelle1[Spalte164],"A"),IF(AND(FL5&lt;&gt;"Sa",FL5&lt;&gt;"So"),COUNTIF(Tabelle1[Spalte164],"")-1,""))&lt;0,0,IF(AND(FL4&lt;=TODAY(),FL5&lt;&gt;"Sa",FL5&lt;&gt;"So"),COUNTIF(Tabelle1[Spalte164],"A"),IF(AND(FL5&lt;&gt;"Sa",FL5&lt;&gt;"So"),COUNTIF(Tabelle1[Spalte164],"")-1,"")))</totalsRowFormula>
    </tableColumn>
    <tableColumn id="167" xr3:uid="{00000000-0010-0000-0000-0000A7000000}" name="Spalte165" totalsRowFunction="custom" dataDxfId="2134" totalsRowDxfId="205">
      <totalsRowFormula>IF(IF(AND(FM4&lt;=TODAY(),FM5&lt;&gt;"Sa",FM5&lt;&gt;"So"),COUNTIF(Tabelle1[Spalte165],"A"),IF(AND(FM5&lt;&gt;"Sa",FM5&lt;&gt;"So"),COUNTIF(Tabelle1[Spalte165],"")-1,""))&lt;0,0,IF(AND(FM4&lt;=TODAY(),FM5&lt;&gt;"Sa",FM5&lt;&gt;"So"),COUNTIF(Tabelle1[Spalte165],"A"),IF(AND(FM5&lt;&gt;"Sa",FM5&lt;&gt;"So"),COUNTIF(Tabelle1[Spalte165],"")-1,"")))</totalsRowFormula>
    </tableColumn>
    <tableColumn id="168" xr3:uid="{00000000-0010-0000-0000-0000A8000000}" name="Spalte166" totalsRowFunction="custom" dataDxfId="2133" totalsRowDxfId="204">
      <totalsRowFormula>IF(IF(AND(FN4&lt;=TODAY(),FN5&lt;&gt;"Sa",FN5&lt;&gt;"So"),COUNTIF(Tabelle1[Spalte166],"A"),IF(AND(FN5&lt;&gt;"Sa",FN5&lt;&gt;"So"),COUNTIF(Tabelle1[Spalte166],"")-1,""))&lt;0,0,IF(AND(FN4&lt;=TODAY(),FN5&lt;&gt;"Sa",FN5&lt;&gt;"So"),COUNTIF(Tabelle1[Spalte166],"A"),IF(AND(FN5&lt;&gt;"Sa",FN5&lt;&gt;"So"),COUNTIF(Tabelle1[Spalte166],"")-1,"")))</totalsRowFormula>
    </tableColumn>
    <tableColumn id="169" xr3:uid="{00000000-0010-0000-0000-0000A9000000}" name="Spalte167" totalsRowFunction="custom" dataDxfId="2132" totalsRowDxfId="203">
      <totalsRowFormula>IF(IF(AND(FO4&lt;=TODAY(),FO5&lt;&gt;"Sa",FO5&lt;&gt;"So"),COUNTIF(Tabelle1[Spalte167],"A"),IF(AND(FO5&lt;&gt;"Sa",FO5&lt;&gt;"So"),COUNTIF(Tabelle1[Spalte167],"")-1,""))&lt;0,0,IF(AND(FO4&lt;=TODAY(),FO5&lt;&gt;"Sa",FO5&lt;&gt;"So"),COUNTIF(Tabelle1[Spalte167],"A"),IF(AND(FO5&lt;&gt;"Sa",FO5&lt;&gt;"So"),COUNTIF(Tabelle1[Spalte167],"")-1,"")))</totalsRowFormula>
    </tableColumn>
    <tableColumn id="170" xr3:uid="{00000000-0010-0000-0000-0000AA000000}" name="Spalte168" totalsRowFunction="custom" dataDxfId="2131" totalsRowDxfId="202">
      <totalsRowFormula>IF(IF(AND(FP4&lt;=TODAY(),FP5&lt;&gt;"Sa",FP5&lt;&gt;"So"),COUNTIF(Tabelle1[Spalte168],"A"),IF(AND(FP5&lt;&gt;"Sa",FP5&lt;&gt;"So"),COUNTIF(Tabelle1[Spalte168],"")-1,""))&lt;0,0,IF(AND(FP4&lt;=TODAY(),FP5&lt;&gt;"Sa",FP5&lt;&gt;"So"),COUNTIF(Tabelle1[Spalte168],"A"),IF(AND(FP5&lt;&gt;"Sa",FP5&lt;&gt;"So"),COUNTIF(Tabelle1[Spalte168],"")-1,"")))</totalsRowFormula>
    </tableColumn>
    <tableColumn id="171" xr3:uid="{00000000-0010-0000-0000-0000AB000000}" name="Spalte169" totalsRowFunction="custom" dataDxfId="2130" totalsRowDxfId="201">
      <totalsRowFormula>IF(IF(AND(FQ4&lt;=TODAY(),FQ5&lt;&gt;"Sa",FQ5&lt;&gt;"So"),COUNTIF(Tabelle1[Spalte169],"A"),IF(AND(FQ5&lt;&gt;"Sa",FQ5&lt;&gt;"So"),COUNTIF(Tabelle1[Spalte169],"")-1,""))&lt;0,0,IF(AND(FQ4&lt;=TODAY(),FQ5&lt;&gt;"Sa",FQ5&lt;&gt;"So"),COUNTIF(Tabelle1[Spalte169],"A"),IF(AND(FQ5&lt;&gt;"Sa",FQ5&lt;&gt;"So"),COUNTIF(Tabelle1[Spalte169],"")-1,"")))</totalsRowFormula>
    </tableColumn>
    <tableColumn id="172" xr3:uid="{00000000-0010-0000-0000-0000AC000000}" name="Spalte170" totalsRowFunction="custom" dataDxfId="2129" totalsRowDxfId="200">
      <totalsRowFormula>IF(IF(AND(FR4&lt;=TODAY(),FR5&lt;&gt;"Sa",FR5&lt;&gt;"So"),COUNTIF(Tabelle1[Spalte170],"A"),IF(AND(FR5&lt;&gt;"Sa",FR5&lt;&gt;"So"),COUNTIF(Tabelle1[Spalte170],"")-1,""))&lt;0,0,IF(AND(FR4&lt;=TODAY(),FR5&lt;&gt;"Sa",FR5&lt;&gt;"So"),COUNTIF(Tabelle1[Spalte170],"A"),IF(AND(FR5&lt;&gt;"Sa",FR5&lt;&gt;"So"),COUNTIF(Tabelle1[Spalte170],"")-1,"")))</totalsRowFormula>
    </tableColumn>
    <tableColumn id="173" xr3:uid="{00000000-0010-0000-0000-0000AD000000}" name="Spalte171" totalsRowFunction="custom" dataDxfId="2128" totalsRowDxfId="199">
      <totalsRowFormula>IF(IF(AND(FS4&lt;=TODAY(),FS5&lt;&gt;"Sa",FS5&lt;&gt;"So"),COUNTIF(Tabelle1[Spalte171],"A"),IF(AND(FS5&lt;&gt;"Sa",FS5&lt;&gt;"So"),COUNTIF(Tabelle1[Spalte171],"")-1,""))&lt;0,0,IF(AND(FS4&lt;=TODAY(),FS5&lt;&gt;"Sa",FS5&lt;&gt;"So"),COUNTIF(Tabelle1[Spalte171],"A"),IF(AND(FS5&lt;&gt;"Sa",FS5&lt;&gt;"So"),COUNTIF(Tabelle1[Spalte171],"")-1,"")))</totalsRowFormula>
    </tableColumn>
    <tableColumn id="174" xr3:uid="{00000000-0010-0000-0000-0000AE000000}" name="Spalte172" totalsRowFunction="custom" dataDxfId="2127" totalsRowDxfId="198">
      <totalsRowFormula>IF(IF(AND(FT4&lt;=TODAY(),FT5&lt;&gt;"Sa",FT5&lt;&gt;"So"),COUNTIF(Tabelle1[Spalte172],"A"),IF(AND(FT5&lt;&gt;"Sa",FT5&lt;&gt;"So"),COUNTIF(Tabelle1[Spalte172],"")-1,""))&lt;0,0,IF(AND(FT4&lt;=TODAY(),FT5&lt;&gt;"Sa",FT5&lt;&gt;"So"),COUNTIF(Tabelle1[Spalte172],"A"),IF(AND(FT5&lt;&gt;"Sa",FT5&lt;&gt;"So"),COUNTIF(Tabelle1[Spalte172],"")-1,"")))</totalsRowFormula>
    </tableColumn>
    <tableColumn id="175" xr3:uid="{00000000-0010-0000-0000-0000AF000000}" name="Spalte173" totalsRowFunction="custom" dataDxfId="2126" totalsRowDxfId="197">
      <totalsRowFormula>IF(IF(AND(FU4&lt;=TODAY(),FU5&lt;&gt;"Sa",FU5&lt;&gt;"So"),COUNTIF(Tabelle1[Spalte173],"A"),IF(AND(FU5&lt;&gt;"Sa",FU5&lt;&gt;"So"),COUNTIF(Tabelle1[Spalte173],"")-1,""))&lt;0,0,IF(AND(FU4&lt;=TODAY(),FU5&lt;&gt;"Sa",FU5&lt;&gt;"So"),COUNTIF(Tabelle1[Spalte173],"A"),IF(AND(FU5&lt;&gt;"Sa",FU5&lt;&gt;"So"),COUNTIF(Tabelle1[Spalte173],"")-1,"")))</totalsRowFormula>
    </tableColumn>
    <tableColumn id="176" xr3:uid="{00000000-0010-0000-0000-0000B0000000}" name="Spalte174" totalsRowFunction="custom" dataDxfId="2125" totalsRowDxfId="196">
      <totalsRowFormula>IF(IF(AND(FV4&lt;=TODAY(),FV5&lt;&gt;"Sa",FV5&lt;&gt;"So"),COUNTIF(Tabelle1[Spalte174],"A"),IF(AND(FV5&lt;&gt;"Sa",FV5&lt;&gt;"So"),COUNTIF(Tabelle1[Spalte174],"")-1,""))&lt;0,0,IF(AND(FV4&lt;=TODAY(),FV5&lt;&gt;"Sa",FV5&lt;&gt;"So"),COUNTIF(Tabelle1[Spalte174],"A"),IF(AND(FV5&lt;&gt;"Sa",FV5&lt;&gt;"So"),COUNTIF(Tabelle1[Spalte174],"")-1,"")))</totalsRowFormula>
    </tableColumn>
    <tableColumn id="177" xr3:uid="{00000000-0010-0000-0000-0000B1000000}" name="Spalte175" totalsRowFunction="custom" dataDxfId="2124" totalsRowDxfId="195">
      <totalsRowFormula>IF(IF(AND(FW4&lt;=TODAY(),FW5&lt;&gt;"Sa",FW5&lt;&gt;"So"),COUNTIF(Tabelle1[Spalte175],"A"),IF(AND(FW5&lt;&gt;"Sa",FW5&lt;&gt;"So"),COUNTIF(Tabelle1[Spalte175],"")-1,""))&lt;0,0,IF(AND(FW4&lt;=TODAY(),FW5&lt;&gt;"Sa",FW5&lt;&gt;"So"),COUNTIF(Tabelle1[Spalte175],"A"),IF(AND(FW5&lt;&gt;"Sa",FW5&lt;&gt;"So"),COUNTIF(Tabelle1[Spalte175],"")-1,"")))</totalsRowFormula>
    </tableColumn>
    <tableColumn id="178" xr3:uid="{00000000-0010-0000-0000-0000B2000000}" name="Spalte176" totalsRowFunction="custom" dataDxfId="2123" totalsRowDxfId="194">
      <totalsRowFormula>IF(IF(AND(FX4&lt;=TODAY(),FX5&lt;&gt;"Sa",FX5&lt;&gt;"So"),COUNTIF(Tabelle1[Spalte176],"A"),IF(AND(FX5&lt;&gt;"Sa",FX5&lt;&gt;"So"),COUNTIF(Tabelle1[Spalte176],"")-1,""))&lt;0,0,IF(AND(FX4&lt;=TODAY(),FX5&lt;&gt;"Sa",FX5&lt;&gt;"So"),COUNTIF(Tabelle1[Spalte176],"A"),IF(AND(FX5&lt;&gt;"Sa",FX5&lt;&gt;"So"),COUNTIF(Tabelle1[Spalte176],"")-1,"")))</totalsRowFormula>
    </tableColumn>
    <tableColumn id="179" xr3:uid="{00000000-0010-0000-0000-0000B3000000}" name="Spalte177" totalsRowFunction="custom" dataDxfId="2122" totalsRowDxfId="193">
      <totalsRowFormula>IF(IF(AND(FY4&lt;=TODAY(),FY5&lt;&gt;"Sa",FY5&lt;&gt;"So"),COUNTIF(Tabelle1[Spalte177],"A"),IF(AND(FY5&lt;&gt;"Sa",FY5&lt;&gt;"So"),COUNTIF(Tabelle1[Spalte177],"")-1,""))&lt;0,0,IF(AND(FY4&lt;=TODAY(),FY5&lt;&gt;"Sa",FY5&lt;&gt;"So"),COUNTIF(Tabelle1[Spalte177],"A"),IF(AND(FY5&lt;&gt;"Sa",FY5&lt;&gt;"So"),COUNTIF(Tabelle1[Spalte177],"")-1,"")))</totalsRowFormula>
    </tableColumn>
    <tableColumn id="180" xr3:uid="{00000000-0010-0000-0000-0000B4000000}" name="Spalte178" totalsRowFunction="custom" dataDxfId="2121" totalsRowDxfId="192">
      <totalsRowFormula>IF(IF(AND(FZ4&lt;=TODAY(),FZ5&lt;&gt;"Sa",FZ5&lt;&gt;"So"),COUNTIF(Tabelle1[Spalte178],"A"),IF(AND(FZ5&lt;&gt;"Sa",FZ5&lt;&gt;"So"),COUNTIF(Tabelle1[Spalte178],"")-1,""))&lt;0,0,IF(AND(FZ4&lt;=TODAY(),FZ5&lt;&gt;"Sa",FZ5&lt;&gt;"So"),COUNTIF(Tabelle1[Spalte178],"A"),IF(AND(FZ5&lt;&gt;"Sa",FZ5&lt;&gt;"So"),COUNTIF(Tabelle1[Spalte178],"")-1,"")))</totalsRowFormula>
    </tableColumn>
    <tableColumn id="181" xr3:uid="{00000000-0010-0000-0000-0000B5000000}" name="Spalte179" totalsRowFunction="custom" dataDxfId="2120" totalsRowDxfId="191">
      <totalsRowFormula>IF(IF(AND(GA4&lt;=TODAY(),GA5&lt;&gt;"Sa",GA5&lt;&gt;"So"),COUNTIF(Tabelle1[Spalte179],"A"),IF(AND(GA5&lt;&gt;"Sa",GA5&lt;&gt;"So"),COUNTIF(Tabelle1[Spalte179],"")-1,""))&lt;0,0,IF(AND(GA4&lt;=TODAY(),GA5&lt;&gt;"Sa",GA5&lt;&gt;"So"),COUNTIF(Tabelle1[Spalte179],"A"),IF(AND(GA5&lt;&gt;"Sa",GA5&lt;&gt;"So"),COUNTIF(Tabelle1[Spalte179],"")-1,"")))</totalsRowFormula>
    </tableColumn>
    <tableColumn id="182" xr3:uid="{00000000-0010-0000-0000-0000B6000000}" name="Spalte180" totalsRowFunction="custom" dataDxfId="2119" totalsRowDxfId="190">
      <totalsRowFormula>IF(IF(AND(GB4&lt;=TODAY(),GB5&lt;&gt;"Sa",GB5&lt;&gt;"So"),COUNTIF(Tabelle1[Spalte180],"A"),IF(AND(GB5&lt;&gt;"Sa",GB5&lt;&gt;"So"),COUNTIF(Tabelle1[Spalte180],"")-1,""))&lt;0,0,IF(AND(GB4&lt;=TODAY(),GB5&lt;&gt;"Sa",GB5&lt;&gt;"So"),COUNTIF(Tabelle1[Spalte180],"A"),IF(AND(GB5&lt;&gt;"Sa",GB5&lt;&gt;"So"),COUNTIF(Tabelle1[Spalte180],"")-1,"")))</totalsRowFormula>
    </tableColumn>
    <tableColumn id="183" xr3:uid="{00000000-0010-0000-0000-0000B7000000}" name="Spalte181" totalsRowFunction="custom" dataDxfId="2118" totalsRowDxfId="189">
      <totalsRowFormula>IF(IF(AND(GC4&lt;=TODAY(),GC5&lt;&gt;"Sa",GC5&lt;&gt;"So"),COUNTIF(Tabelle1[Spalte181],"A"),IF(AND(GC5&lt;&gt;"Sa",GC5&lt;&gt;"So"),COUNTIF(Tabelle1[Spalte181],"")-1,""))&lt;0,0,IF(AND(GC4&lt;=TODAY(),GC5&lt;&gt;"Sa",GC5&lt;&gt;"So"),COUNTIF(Tabelle1[Spalte181],"A"),IF(AND(GC5&lt;&gt;"Sa",GC5&lt;&gt;"So"),COUNTIF(Tabelle1[Spalte181],"")-1,"")))</totalsRowFormula>
    </tableColumn>
    <tableColumn id="184" xr3:uid="{00000000-0010-0000-0000-0000B8000000}" name="Spalte182" totalsRowFunction="custom" dataDxfId="2117" totalsRowDxfId="188">
      <totalsRowFormula>IF(IF(AND(GD4&lt;=TODAY(),GD5&lt;&gt;"Sa",GD5&lt;&gt;"So"),COUNTIF(Tabelle1[Spalte182],"A"),IF(AND(GD5&lt;&gt;"Sa",GD5&lt;&gt;"So"),COUNTIF(Tabelle1[Spalte182],"")-1,""))&lt;0,0,IF(AND(GD4&lt;=TODAY(),GD5&lt;&gt;"Sa",GD5&lt;&gt;"So"),COUNTIF(Tabelle1[Spalte182],"A"),IF(AND(GD5&lt;&gt;"Sa",GD5&lt;&gt;"So"),COUNTIF(Tabelle1[Spalte182],"")-1,"")))</totalsRowFormula>
    </tableColumn>
    <tableColumn id="185" xr3:uid="{00000000-0010-0000-0000-0000B9000000}" name="Spalte183" totalsRowFunction="custom" dataDxfId="2116" totalsRowDxfId="187">
      <totalsRowFormula>IF(IF(AND(GE4&lt;=TODAY(),GE5&lt;&gt;"Sa",GE5&lt;&gt;"So"),COUNTIF(Tabelle1[Spalte183],"A"),IF(AND(GE5&lt;&gt;"Sa",GE5&lt;&gt;"So"),COUNTIF(Tabelle1[Spalte183],"")-1,""))&lt;0,0,IF(AND(GE4&lt;=TODAY(),GE5&lt;&gt;"Sa",GE5&lt;&gt;"So"),COUNTIF(Tabelle1[Spalte183],"A"),IF(AND(GE5&lt;&gt;"Sa",GE5&lt;&gt;"So"),COUNTIF(Tabelle1[Spalte183],"")-1,"")))</totalsRowFormula>
    </tableColumn>
    <tableColumn id="186" xr3:uid="{00000000-0010-0000-0000-0000BA000000}" name="Spalte184" totalsRowFunction="custom" dataDxfId="2115" totalsRowDxfId="186">
      <totalsRowFormula>IF(IF(AND(GF4&lt;=TODAY(),GF5&lt;&gt;"Sa",GF5&lt;&gt;"So"),COUNTIF(Tabelle1[Spalte184],"A"),IF(AND(GF5&lt;&gt;"Sa",GF5&lt;&gt;"So"),COUNTIF(Tabelle1[Spalte184],"")-1,""))&lt;0,0,IF(AND(GF4&lt;=TODAY(),GF5&lt;&gt;"Sa",GF5&lt;&gt;"So"),COUNTIF(Tabelle1[Spalte184],"A"),IF(AND(GF5&lt;&gt;"Sa",GF5&lt;&gt;"So"),COUNTIF(Tabelle1[Spalte184],"")-1,"")))</totalsRowFormula>
    </tableColumn>
    <tableColumn id="187" xr3:uid="{00000000-0010-0000-0000-0000BB000000}" name="Spalte185" totalsRowFunction="custom" dataDxfId="2114" totalsRowDxfId="185">
      <totalsRowFormula>IF(IF(AND(GG4&lt;=TODAY(),GG5&lt;&gt;"Sa",GG5&lt;&gt;"So"),COUNTIF(Tabelle1[Spalte185],"A"),IF(AND(GG5&lt;&gt;"Sa",GG5&lt;&gt;"So"),COUNTIF(Tabelle1[Spalte185],"")-1,""))&lt;0,0,IF(AND(GG4&lt;=TODAY(),GG5&lt;&gt;"Sa",GG5&lt;&gt;"So"),COUNTIF(Tabelle1[Spalte185],"A"),IF(AND(GG5&lt;&gt;"Sa",GG5&lt;&gt;"So"),COUNTIF(Tabelle1[Spalte185],"")-1,"")))</totalsRowFormula>
    </tableColumn>
    <tableColumn id="188" xr3:uid="{00000000-0010-0000-0000-0000BC000000}" name="Spalte186" totalsRowFunction="custom" dataDxfId="2113" totalsRowDxfId="184">
      <totalsRowFormula>IF(IF(AND(GH4&lt;=TODAY(),GH5&lt;&gt;"Sa",GH5&lt;&gt;"So"),COUNTIF(Tabelle1[Spalte186],"A"),IF(AND(GH5&lt;&gt;"Sa",GH5&lt;&gt;"So"),COUNTIF(Tabelle1[Spalte186],"")-1,""))&lt;0,0,IF(AND(GH4&lt;=TODAY(),GH5&lt;&gt;"Sa",GH5&lt;&gt;"So"),COUNTIF(Tabelle1[Spalte186],"A"),IF(AND(GH5&lt;&gt;"Sa",GH5&lt;&gt;"So"),COUNTIF(Tabelle1[Spalte186],"")-1,"")))</totalsRowFormula>
    </tableColumn>
    <tableColumn id="189" xr3:uid="{00000000-0010-0000-0000-0000BD000000}" name="Spalte187" totalsRowFunction="custom" dataDxfId="2112" totalsRowDxfId="183">
      <totalsRowFormula>IF(IF(AND(GI4&lt;=TODAY(),GI5&lt;&gt;"Sa",GI5&lt;&gt;"So"),COUNTIF(Tabelle1[Spalte187],"A"),IF(AND(GI5&lt;&gt;"Sa",GI5&lt;&gt;"So"),COUNTIF(Tabelle1[Spalte187],"")-1,""))&lt;0,0,IF(AND(GI4&lt;=TODAY(),GI5&lt;&gt;"Sa",GI5&lt;&gt;"So"),COUNTIF(Tabelle1[Spalte187],"A"),IF(AND(GI5&lt;&gt;"Sa",GI5&lt;&gt;"So"),COUNTIF(Tabelle1[Spalte187],"")-1,"")))</totalsRowFormula>
    </tableColumn>
    <tableColumn id="190" xr3:uid="{00000000-0010-0000-0000-0000BE000000}" name="Spalte188" totalsRowFunction="custom" dataDxfId="2111" totalsRowDxfId="182">
      <totalsRowFormula>IF(IF(AND(GJ4&lt;=TODAY(),GJ5&lt;&gt;"Sa",GJ5&lt;&gt;"So"),COUNTIF(Tabelle1[Spalte188],"A"),IF(AND(GJ5&lt;&gt;"Sa",GJ5&lt;&gt;"So"),COUNTIF(Tabelle1[Spalte188],"")-1,""))&lt;0,0,IF(AND(GJ4&lt;=TODAY(),GJ5&lt;&gt;"Sa",GJ5&lt;&gt;"So"),COUNTIF(Tabelle1[Spalte188],"A"),IF(AND(GJ5&lt;&gt;"Sa",GJ5&lt;&gt;"So"),COUNTIF(Tabelle1[Spalte188],"")-1,"")))</totalsRowFormula>
    </tableColumn>
    <tableColumn id="191" xr3:uid="{00000000-0010-0000-0000-0000BF000000}" name="Spalte189" totalsRowFunction="custom" dataDxfId="2110" totalsRowDxfId="181">
      <totalsRowFormula>IF(IF(AND(GK4&lt;=TODAY(),GK5&lt;&gt;"Sa",GK5&lt;&gt;"So"),COUNTIF(Tabelle1[Spalte189],"A"),IF(AND(GK5&lt;&gt;"Sa",GK5&lt;&gt;"So"),COUNTIF(Tabelle1[Spalte189],"")-1,""))&lt;0,0,IF(AND(GK4&lt;=TODAY(),GK5&lt;&gt;"Sa",GK5&lt;&gt;"So"),COUNTIF(Tabelle1[Spalte189],"A"),IF(AND(GK5&lt;&gt;"Sa",GK5&lt;&gt;"So"),COUNTIF(Tabelle1[Spalte189],"")-1,"")))</totalsRowFormula>
    </tableColumn>
    <tableColumn id="192" xr3:uid="{00000000-0010-0000-0000-0000C0000000}" name="Spalte190" totalsRowFunction="custom" dataDxfId="2109" totalsRowDxfId="180">
      <totalsRowFormula>IF(IF(AND(GL4&lt;=TODAY(),GL5&lt;&gt;"Sa",GL5&lt;&gt;"So"),COUNTIF(Tabelle1[Spalte190],"A"),IF(AND(GL5&lt;&gt;"Sa",GL5&lt;&gt;"So"),COUNTIF(Tabelle1[Spalte190],"")-1,""))&lt;0,0,IF(AND(GL4&lt;=TODAY(),GL5&lt;&gt;"Sa",GL5&lt;&gt;"So"),COUNTIF(Tabelle1[Spalte190],"A"),IF(AND(GL5&lt;&gt;"Sa",GL5&lt;&gt;"So"),COUNTIF(Tabelle1[Spalte190],"")-1,"")))</totalsRowFormula>
    </tableColumn>
    <tableColumn id="193" xr3:uid="{00000000-0010-0000-0000-0000C1000000}" name="Spalte191" totalsRowFunction="custom" dataDxfId="2108" totalsRowDxfId="179">
      <totalsRowFormula>IF(IF(AND(GM4&lt;=TODAY(),GM5&lt;&gt;"Sa",GM5&lt;&gt;"So"),COUNTIF(Tabelle1[Spalte191],"A"),IF(AND(GM5&lt;&gt;"Sa",GM5&lt;&gt;"So"),COUNTIF(Tabelle1[Spalte191],"")-1,""))&lt;0,0,IF(AND(GM4&lt;=TODAY(),GM5&lt;&gt;"Sa",GM5&lt;&gt;"So"),COUNTIF(Tabelle1[Spalte191],"A"),IF(AND(GM5&lt;&gt;"Sa",GM5&lt;&gt;"So"),COUNTIF(Tabelle1[Spalte191],"")-1,"")))</totalsRowFormula>
    </tableColumn>
    <tableColumn id="194" xr3:uid="{00000000-0010-0000-0000-0000C2000000}" name="Spalte192" totalsRowFunction="custom" dataDxfId="2107" totalsRowDxfId="178">
      <totalsRowFormula>IF(IF(AND(GN4&lt;=TODAY(),GN5&lt;&gt;"Sa",GN5&lt;&gt;"So"),COUNTIF(Tabelle1[Spalte192],"A"),IF(AND(GN5&lt;&gt;"Sa",GN5&lt;&gt;"So"),COUNTIF(Tabelle1[Spalte192],"")-1,""))&lt;0,0,IF(AND(GN4&lt;=TODAY(),GN5&lt;&gt;"Sa",GN5&lt;&gt;"So"),COUNTIF(Tabelle1[Spalte192],"A"),IF(AND(GN5&lt;&gt;"Sa",GN5&lt;&gt;"So"),COUNTIF(Tabelle1[Spalte192],"")-1,"")))</totalsRowFormula>
    </tableColumn>
    <tableColumn id="195" xr3:uid="{00000000-0010-0000-0000-0000C3000000}" name="Spalte193" totalsRowFunction="custom" dataDxfId="2106" totalsRowDxfId="177">
      <totalsRowFormula>IF(IF(AND(GO4&lt;=TODAY(),GO5&lt;&gt;"Sa",GO5&lt;&gt;"So"),COUNTIF(Tabelle1[Spalte193],"A"),IF(AND(GO5&lt;&gt;"Sa",GO5&lt;&gt;"So"),COUNTIF(Tabelle1[Spalte193],"")-1,""))&lt;0,0,IF(AND(GO4&lt;=TODAY(),GO5&lt;&gt;"Sa",GO5&lt;&gt;"So"),COUNTIF(Tabelle1[Spalte193],"A"),IF(AND(GO5&lt;&gt;"Sa",GO5&lt;&gt;"So"),COUNTIF(Tabelle1[Spalte193],"")-1,"")))</totalsRowFormula>
    </tableColumn>
    <tableColumn id="196" xr3:uid="{00000000-0010-0000-0000-0000C4000000}" name="Spalte194" totalsRowFunction="custom" dataDxfId="2105" totalsRowDxfId="176">
      <totalsRowFormula>IF(IF(AND(GP4&lt;=TODAY(),GP5&lt;&gt;"Sa",GP5&lt;&gt;"So"),COUNTIF(Tabelle1[Spalte194],"A"),IF(AND(GP5&lt;&gt;"Sa",GP5&lt;&gt;"So"),COUNTIF(Tabelle1[Spalte194],"")-1,""))&lt;0,0,IF(AND(GP4&lt;=TODAY(),GP5&lt;&gt;"Sa",GP5&lt;&gt;"So"),COUNTIF(Tabelle1[Spalte194],"A"),IF(AND(GP5&lt;&gt;"Sa",GP5&lt;&gt;"So"),COUNTIF(Tabelle1[Spalte194],"")-1,"")))</totalsRowFormula>
    </tableColumn>
    <tableColumn id="197" xr3:uid="{00000000-0010-0000-0000-0000C5000000}" name="Spalte195" totalsRowFunction="custom" dataDxfId="2104" totalsRowDxfId="175">
      <totalsRowFormula>IF(IF(AND(GQ4&lt;=TODAY(),GQ5&lt;&gt;"Sa",GQ5&lt;&gt;"So"),COUNTIF(Tabelle1[Spalte195],"A"),IF(AND(GQ5&lt;&gt;"Sa",GQ5&lt;&gt;"So"),COUNTIF(Tabelle1[Spalte195],"")-1,""))&lt;0,0,IF(AND(GQ4&lt;=TODAY(),GQ5&lt;&gt;"Sa",GQ5&lt;&gt;"So"),COUNTIF(Tabelle1[Spalte195],"A"),IF(AND(GQ5&lt;&gt;"Sa",GQ5&lt;&gt;"So"),COUNTIF(Tabelle1[Spalte195],"")-1,"")))</totalsRowFormula>
    </tableColumn>
    <tableColumn id="198" xr3:uid="{00000000-0010-0000-0000-0000C6000000}" name="Spalte196" totalsRowFunction="custom" dataDxfId="2103" totalsRowDxfId="174">
      <totalsRowFormula>IF(IF(AND(GR4&lt;=TODAY(),GR5&lt;&gt;"Sa",GR5&lt;&gt;"So"),COUNTIF(Tabelle1[Spalte196],"A"),IF(AND(GR5&lt;&gt;"Sa",GR5&lt;&gt;"So"),COUNTIF(Tabelle1[Spalte196],"")-1,""))&lt;0,0,IF(AND(GR4&lt;=TODAY(),GR5&lt;&gt;"Sa",GR5&lt;&gt;"So"),COUNTIF(Tabelle1[Spalte196],"A"),IF(AND(GR5&lt;&gt;"Sa",GR5&lt;&gt;"So"),COUNTIF(Tabelle1[Spalte196],"")-1,"")))</totalsRowFormula>
    </tableColumn>
    <tableColumn id="199" xr3:uid="{00000000-0010-0000-0000-0000C7000000}" name="Spalte197" totalsRowFunction="custom" dataDxfId="2102" totalsRowDxfId="173">
      <totalsRowFormula>IF(IF(AND(GS4&lt;=TODAY(),GS5&lt;&gt;"Sa",GS5&lt;&gt;"So"),COUNTIF(Tabelle1[Spalte197],"A"),IF(AND(GS5&lt;&gt;"Sa",GS5&lt;&gt;"So"),COUNTIF(Tabelle1[Spalte197],"")-1,""))&lt;0,0,IF(AND(GS4&lt;=TODAY(),GS5&lt;&gt;"Sa",GS5&lt;&gt;"So"),COUNTIF(Tabelle1[Spalte197],"A"),IF(AND(GS5&lt;&gt;"Sa",GS5&lt;&gt;"So"),COUNTIF(Tabelle1[Spalte197],"")-1,"")))</totalsRowFormula>
    </tableColumn>
    <tableColumn id="200" xr3:uid="{00000000-0010-0000-0000-0000C8000000}" name="Spalte198" totalsRowFunction="custom" dataDxfId="2101" totalsRowDxfId="172">
      <totalsRowFormula>IF(IF(AND(GT4&lt;=TODAY(),GT5&lt;&gt;"Sa",GT5&lt;&gt;"So"),COUNTIF(Tabelle1[Spalte198],"A"),IF(AND(GT5&lt;&gt;"Sa",GT5&lt;&gt;"So"),COUNTIF(Tabelle1[Spalte198],"")-1,""))&lt;0,0,IF(AND(GT4&lt;=TODAY(),GT5&lt;&gt;"Sa",GT5&lt;&gt;"So"),COUNTIF(Tabelle1[Spalte198],"A"),IF(AND(GT5&lt;&gt;"Sa",GT5&lt;&gt;"So"),COUNTIF(Tabelle1[Spalte198],"")-1,"")))</totalsRowFormula>
    </tableColumn>
    <tableColumn id="201" xr3:uid="{00000000-0010-0000-0000-0000C9000000}" name="Spalte199" totalsRowFunction="custom" dataDxfId="2100" totalsRowDxfId="171">
      <totalsRowFormula>IF(IF(AND(U4&lt;=TODAY(),U5&lt;&gt;"Sa",U5&lt;&gt;"So"),COUNTIF(Tabelle1[Spalte199],"A"),IF(AND(U5&lt;&gt;"Sa",U5&lt;&gt;"So"),COUNTIF(Tabelle1[Spalte199],"")-1,""))&lt;0,0,IF(AND(U4&lt;=TODAY(),U5&lt;&gt;"Sa",U5&lt;&gt;"So"),COUNTIF(Tabelle1[Spalte199],"A"),IF(AND(U5&lt;&gt;"Sa",U5&lt;&gt;"So"),COUNTIF(Tabelle1[Spalte199],"")-1,"")))</totalsRowFormula>
    </tableColumn>
    <tableColumn id="202" xr3:uid="{00000000-0010-0000-0000-0000CA000000}" name="Spalte200" totalsRowFunction="custom" dataDxfId="2099" totalsRowDxfId="170">
      <totalsRowFormula>IF(IF(AND(GV4&lt;=TODAY(),GV5&lt;&gt;"Sa",GV5&lt;&gt;"So"),COUNTIF(Tabelle1[Spalte200],"A"),IF(AND(GV5&lt;&gt;"Sa",GV5&lt;&gt;"So"),COUNTIF(Tabelle1[Spalte200],"")-1,""))&lt;0,0,IF(AND(GV4&lt;=TODAY(),GV5&lt;&gt;"Sa",GV5&lt;&gt;"So"),COUNTIF(Tabelle1[Spalte200],"A"),IF(AND(GV5&lt;&gt;"Sa",GV5&lt;&gt;"So"),COUNTIF(Tabelle1[Spalte200],"")-1,"")))</totalsRowFormula>
    </tableColumn>
    <tableColumn id="203" xr3:uid="{00000000-0010-0000-0000-0000CB000000}" name="Spalte201" totalsRowFunction="custom" dataDxfId="2098" totalsRowDxfId="169">
      <totalsRowFormula>IF(IF(AND(GW4&lt;=TODAY(),GW5&lt;&gt;"Sa",GW5&lt;&gt;"So"),COUNTIF(Tabelle1[Spalte201],"A"),IF(AND(GW5&lt;&gt;"Sa",GW5&lt;&gt;"So"),COUNTIF(Tabelle1[Spalte201],"")-1,""))&lt;0,0,IF(AND(GW4&lt;=TODAY(),GW5&lt;&gt;"Sa",GW5&lt;&gt;"So"),COUNTIF(Tabelle1[Spalte201],"A"),IF(AND(GW5&lt;&gt;"Sa",GW5&lt;&gt;"So"),COUNTIF(Tabelle1[Spalte201],"")-1,"")))</totalsRowFormula>
    </tableColumn>
    <tableColumn id="204" xr3:uid="{00000000-0010-0000-0000-0000CC000000}" name="Spalte202" totalsRowFunction="custom" dataDxfId="2097" totalsRowDxfId="168">
      <totalsRowFormula>IF(IF(AND(GX4&lt;=TODAY(),GX5&lt;&gt;"Sa",GX5&lt;&gt;"So"),COUNTIF(Tabelle1[Spalte202],"A"),IF(AND(GX5&lt;&gt;"Sa",GX5&lt;&gt;"So"),COUNTIF(Tabelle1[Spalte202],"")-1,""))&lt;0,0,IF(AND(GX4&lt;=TODAY(),GX5&lt;&gt;"Sa",GX5&lt;&gt;"So"),COUNTIF(Tabelle1[Spalte202],"A"),IF(AND(GX5&lt;&gt;"Sa",GX5&lt;&gt;"So"),COUNTIF(Tabelle1[Spalte202],"")-1,"")))</totalsRowFormula>
    </tableColumn>
    <tableColumn id="205" xr3:uid="{00000000-0010-0000-0000-0000CD000000}" name="Spalte203" totalsRowFunction="custom" dataDxfId="2096" totalsRowDxfId="167">
      <totalsRowFormula>IF(IF(AND(GY4&lt;=TODAY(),GY5&lt;&gt;"Sa",GY5&lt;&gt;"So"),COUNTIF(Tabelle1[Spalte203],"A"),IF(AND(GY5&lt;&gt;"Sa",GY5&lt;&gt;"So"),COUNTIF(Tabelle1[Spalte203],"")-1,""))&lt;0,0,IF(AND(GY4&lt;=TODAY(),GY5&lt;&gt;"Sa",GY5&lt;&gt;"So"),COUNTIF(Tabelle1[Spalte203],"A"),IF(AND(GY5&lt;&gt;"Sa",GY5&lt;&gt;"So"),COUNTIF(Tabelle1[Spalte203],"")-1,"")))</totalsRowFormula>
    </tableColumn>
    <tableColumn id="206" xr3:uid="{00000000-0010-0000-0000-0000CE000000}" name="Spalte204" totalsRowFunction="custom" dataDxfId="2095" totalsRowDxfId="166">
      <totalsRowFormula>IF(IF(AND(GZ4&lt;=TODAY(),GZ5&lt;&gt;"Sa",GZ5&lt;&gt;"So"),COUNTIF(Tabelle1[Spalte204],"A"),IF(AND(GZ5&lt;&gt;"Sa",GZ5&lt;&gt;"So"),COUNTIF(Tabelle1[Spalte204],"")-1,""))&lt;0,0,IF(AND(GZ4&lt;=TODAY(),GZ5&lt;&gt;"Sa",GZ5&lt;&gt;"So"),COUNTIF(Tabelle1[Spalte204],"A"),IF(AND(GZ5&lt;&gt;"Sa",GZ5&lt;&gt;"So"),COUNTIF(Tabelle1[Spalte204],"")-1,"")))</totalsRowFormula>
    </tableColumn>
    <tableColumn id="207" xr3:uid="{00000000-0010-0000-0000-0000CF000000}" name="Spalte205" totalsRowFunction="custom" dataDxfId="2094" totalsRowDxfId="165">
      <totalsRowFormula>IF(IF(AND(HA4&lt;=TODAY(),HA5&lt;&gt;"Sa",HA5&lt;&gt;"So"),COUNTIF(Tabelle1[Spalte205],"A"),IF(AND(HA5&lt;&gt;"Sa",HA5&lt;&gt;"So"),COUNTIF(Tabelle1[Spalte205],"")-1,""))&lt;0,0,IF(AND(HA4&lt;=TODAY(),HA5&lt;&gt;"Sa",HA5&lt;&gt;"So"),COUNTIF(Tabelle1[Spalte205],"A"),IF(AND(HA5&lt;&gt;"Sa",HA5&lt;&gt;"So"),COUNTIF(Tabelle1[Spalte205],"")-1,"")))</totalsRowFormula>
    </tableColumn>
    <tableColumn id="208" xr3:uid="{00000000-0010-0000-0000-0000D0000000}" name="Spalte206" totalsRowFunction="custom" dataDxfId="2093" totalsRowDxfId="164">
      <totalsRowFormula>IF(IF(AND(HB4&lt;=TODAY(),HB5&lt;&gt;"Sa",HB5&lt;&gt;"So"),COUNTIF(Tabelle1[Spalte206],"A"),IF(AND(HB5&lt;&gt;"Sa",HB5&lt;&gt;"So"),COUNTIF(Tabelle1[Spalte206],"")-1,""))&lt;0,0,IF(AND(HB4&lt;=TODAY(),HB5&lt;&gt;"Sa",HB5&lt;&gt;"So"),COUNTIF(Tabelle1[Spalte206],"A"),IF(AND(HB5&lt;&gt;"Sa",HB5&lt;&gt;"So"),COUNTIF(Tabelle1[Spalte206],"")-1,"")))</totalsRowFormula>
    </tableColumn>
    <tableColumn id="209" xr3:uid="{00000000-0010-0000-0000-0000D1000000}" name="Spalte207" totalsRowFunction="custom" dataDxfId="2092" totalsRowDxfId="163">
      <totalsRowFormula>IF(IF(AND(HC4&lt;=TODAY(),HC5&lt;&gt;"Sa",HC5&lt;&gt;"So"),COUNTIF(Tabelle1[Spalte207],"A"),IF(AND(HC5&lt;&gt;"Sa",HC5&lt;&gt;"So"),COUNTIF(Tabelle1[Spalte207],"")-1,""))&lt;0,0,IF(AND(HC4&lt;=TODAY(),HC5&lt;&gt;"Sa",HC5&lt;&gt;"So"),COUNTIF(Tabelle1[Spalte207],"A"),IF(AND(HC5&lt;&gt;"Sa",HC5&lt;&gt;"So"),COUNTIF(Tabelle1[Spalte207],"")-1,"")))</totalsRowFormula>
    </tableColumn>
    <tableColumn id="210" xr3:uid="{00000000-0010-0000-0000-0000D2000000}" name="Spalte208" totalsRowFunction="custom" dataDxfId="2091" totalsRowDxfId="162">
      <totalsRowFormula>IF(IF(AND(HD4&lt;=TODAY(),HD5&lt;&gt;"Sa",HD5&lt;&gt;"So"),COUNTIF(Tabelle1[Spalte208],"A"),IF(AND(HD5&lt;&gt;"Sa",HD5&lt;&gt;"So"),COUNTIF(Tabelle1[Spalte208],"")-1,""))&lt;0,0,IF(AND(HD4&lt;=TODAY(),HD5&lt;&gt;"Sa",HD5&lt;&gt;"So"),COUNTIF(Tabelle1[Spalte208],"A"),IF(AND(HD5&lt;&gt;"Sa",HD5&lt;&gt;"So"),COUNTIF(Tabelle1[Spalte208],"")-1,"")))</totalsRowFormula>
    </tableColumn>
    <tableColumn id="211" xr3:uid="{00000000-0010-0000-0000-0000D3000000}" name="Spalte209" totalsRowFunction="custom" dataDxfId="2090" totalsRowDxfId="161">
      <totalsRowFormula>IF(IF(AND(HE4&lt;=TODAY(),HE5&lt;&gt;"Sa",HE5&lt;&gt;"So"),COUNTIF(Tabelle1[Spalte209],"A"),IF(AND(HE5&lt;&gt;"Sa",HE5&lt;&gt;"So"),COUNTIF(Tabelle1[Spalte209],"")-1,""))&lt;0,0,IF(AND(HE4&lt;=TODAY(),HE5&lt;&gt;"Sa",HE5&lt;&gt;"So"),COUNTIF(Tabelle1[Spalte209],"A"),IF(AND(HE5&lt;&gt;"Sa",HE5&lt;&gt;"So"),COUNTIF(Tabelle1[Spalte209],"")-1,"")))</totalsRowFormula>
    </tableColumn>
    <tableColumn id="212" xr3:uid="{00000000-0010-0000-0000-0000D4000000}" name="Spalte210" totalsRowFunction="custom" dataDxfId="2089" totalsRowDxfId="160">
      <totalsRowFormula>IF(IF(AND(HF4&lt;=TODAY(),HF5&lt;&gt;"Sa",HF5&lt;&gt;"So"),COUNTIF(Tabelle1[Spalte210],"A"),IF(AND(HF5&lt;&gt;"Sa",HF5&lt;&gt;"So"),COUNTIF(Tabelle1[Spalte210],"")-1,""))&lt;0,0,IF(AND(HF4&lt;=TODAY(),HF5&lt;&gt;"Sa",HF5&lt;&gt;"So"),COUNTIF(Tabelle1[Spalte210],"A"),IF(AND(HF5&lt;&gt;"Sa",HF5&lt;&gt;"So"),COUNTIF(Tabelle1[Spalte210],"")-1,"")))</totalsRowFormula>
    </tableColumn>
    <tableColumn id="213" xr3:uid="{00000000-0010-0000-0000-0000D5000000}" name="Spalte211" totalsRowFunction="custom" dataDxfId="2088" totalsRowDxfId="159">
      <totalsRowFormula>IF(IF(AND(HG4&lt;=TODAY(),HG5&lt;&gt;"Sa",HG5&lt;&gt;"So"),COUNTIF(Tabelle1[Spalte211],"A"),IF(AND(HG5&lt;&gt;"Sa",HG5&lt;&gt;"So"),COUNTIF(Tabelle1[Spalte211],"")-1,""))&lt;0,0,IF(AND(HG4&lt;=TODAY(),HG5&lt;&gt;"Sa",HG5&lt;&gt;"So"),COUNTIF(Tabelle1[Spalte211],"A"),IF(AND(HG5&lt;&gt;"Sa",HG5&lt;&gt;"So"),COUNTIF(Tabelle1[Spalte211],"")-1,"")))</totalsRowFormula>
    </tableColumn>
    <tableColumn id="214" xr3:uid="{00000000-0010-0000-0000-0000D6000000}" name="Spalte212" totalsRowFunction="custom" dataDxfId="2087" totalsRowDxfId="158">
      <totalsRowFormula>IF(IF(AND(HH4&lt;=TODAY(),HH5&lt;&gt;"Sa",HH5&lt;&gt;"So"),COUNTIF(Tabelle1[Spalte212],"A"),IF(AND(HH5&lt;&gt;"Sa",HH5&lt;&gt;"So"),COUNTIF(Tabelle1[Spalte212],"")-1,""))&lt;0,0,IF(AND(HH4&lt;=TODAY(),HH5&lt;&gt;"Sa",HH5&lt;&gt;"So"),COUNTIF(Tabelle1[Spalte212],"A"),IF(AND(HH5&lt;&gt;"Sa",HH5&lt;&gt;"So"),COUNTIF(Tabelle1[Spalte212],"")-1,"")))</totalsRowFormula>
    </tableColumn>
    <tableColumn id="215" xr3:uid="{00000000-0010-0000-0000-0000D7000000}" name="Spalte213" totalsRowFunction="custom" dataDxfId="2086" totalsRowDxfId="157">
      <totalsRowFormula>IF(IF(AND(HI4&lt;=TODAY(),HI5&lt;&gt;"Sa",HI5&lt;&gt;"So"),COUNTIF(Tabelle1[Spalte213],"A"),IF(AND(HI5&lt;&gt;"Sa",HI5&lt;&gt;"So"),COUNTIF(Tabelle1[Spalte213],"")-1,""))&lt;0,0,IF(AND(HI4&lt;=TODAY(),HI5&lt;&gt;"Sa",HI5&lt;&gt;"So"),COUNTIF(Tabelle1[Spalte213],"A"),IF(AND(HI5&lt;&gt;"Sa",HI5&lt;&gt;"So"),COUNTIF(Tabelle1[Spalte213],"")-1,"")))</totalsRowFormula>
    </tableColumn>
    <tableColumn id="216" xr3:uid="{00000000-0010-0000-0000-0000D8000000}" name="Spalte214" totalsRowFunction="custom" dataDxfId="2085" totalsRowDxfId="156">
      <totalsRowFormula>IF(IF(AND(HJ4&lt;=TODAY(),HJ5&lt;&gt;"Sa",HJ5&lt;&gt;"So"),COUNTIF(Tabelle1[Spalte214],"A"),IF(AND(HJ5&lt;&gt;"Sa",HJ5&lt;&gt;"So"),COUNTIF(Tabelle1[Spalte214],"")-1,""))&lt;0,0,IF(AND(HJ4&lt;=TODAY(),HJ5&lt;&gt;"Sa",HJ5&lt;&gt;"So"),COUNTIF(Tabelle1[Spalte214],"A"),IF(AND(HJ5&lt;&gt;"Sa",HJ5&lt;&gt;"So"),COUNTIF(Tabelle1[Spalte214],"")-1,"")))</totalsRowFormula>
    </tableColumn>
    <tableColumn id="217" xr3:uid="{00000000-0010-0000-0000-0000D9000000}" name="Spalte215" totalsRowFunction="custom" dataDxfId="2084" totalsRowDxfId="155">
      <totalsRowFormula>IF(IF(AND(HK4&lt;=TODAY(),HK5&lt;&gt;"Sa",HK5&lt;&gt;"So"),COUNTIF(Tabelle1[Spalte215],"A"),IF(AND(HK5&lt;&gt;"Sa",HK5&lt;&gt;"So"),COUNTIF(Tabelle1[Spalte215],"")-1,""))&lt;0,0,IF(AND(HK4&lt;=TODAY(),HK5&lt;&gt;"Sa",HK5&lt;&gt;"So"),COUNTIF(Tabelle1[Spalte215],"A"),IF(AND(HK5&lt;&gt;"Sa",HK5&lt;&gt;"So"),COUNTIF(Tabelle1[Spalte215],"")-1,"")))</totalsRowFormula>
    </tableColumn>
    <tableColumn id="218" xr3:uid="{00000000-0010-0000-0000-0000DA000000}" name="Spalte216" totalsRowFunction="custom" dataDxfId="2083" totalsRowDxfId="154">
      <totalsRowFormula>IF(IF(AND(HL4&lt;=TODAY(),HL5&lt;&gt;"Sa",HL5&lt;&gt;"So"),COUNTIF(Tabelle1[Spalte216],"A"),IF(AND(HL5&lt;&gt;"Sa",HL5&lt;&gt;"So"),COUNTIF(Tabelle1[Spalte216],"")-1,""))&lt;0,0,IF(AND(HL4&lt;=TODAY(),HL5&lt;&gt;"Sa",HL5&lt;&gt;"So"),COUNTIF(Tabelle1[Spalte216],"A"),IF(AND(HL5&lt;&gt;"Sa",HL5&lt;&gt;"So"),COUNTIF(Tabelle1[Spalte216],"")-1,"")))</totalsRowFormula>
    </tableColumn>
    <tableColumn id="219" xr3:uid="{00000000-0010-0000-0000-0000DB000000}" name="Spalte217" totalsRowFunction="custom" dataDxfId="2082" totalsRowDxfId="153">
      <totalsRowFormula>IF(IF(AND(HM4&lt;=TODAY(),HM5&lt;&gt;"Sa",HM5&lt;&gt;"So"),COUNTIF(Tabelle1[Spalte217],"A"),IF(AND(HM5&lt;&gt;"Sa",HM5&lt;&gt;"So"),COUNTIF(Tabelle1[Spalte217],"")-1,""))&lt;0,0,IF(AND(HM4&lt;=TODAY(),HM5&lt;&gt;"Sa",HM5&lt;&gt;"So"),COUNTIF(Tabelle1[Spalte217],"A"),IF(AND(HM5&lt;&gt;"Sa",HM5&lt;&gt;"So"),COUNTIF(Tabelle1[Spalte217],"")-1,"")))</totalsRowFormula>
    </tableColumn>
    <tableColumn id="220" xr3:uid="{00000000-0010-0000-0000-0000DC000000}" name="Spalte218" totalsRowFunction="custom" dataDxfId="2081" totalsRowDxfId="152">
      <totalsRowFormula>IF(IF(AND(HN4&lt;=TODAY(),HN5&lt;&gt;"Sa",HN5&lt;&gt;"So"),COUNTIF(Tabelle1[Spalte218],"A"),IF(AND(HN5&lt;&gt;"Sa",HN5&lt;&gt;"So"),COUNTIF(Tabelle1[Spalte218],"")-1,""))&lt;0,0,IF(AND(HN4&lt;=TODAY(),HN5&lt;&gt;"Sa",HN5&lt;&gt;"So"),COUNTIF(Tabelle1[Spalte218],"A"),IF(AND(HN5&lt;&gt;"Sa",HN5&lt;&gt;"So"),COUNTIF(Tabelle1[Spalte218],"")-1,"")))</totalsRowFormula>
    </tableColumn>
    <tableColumn id="221" xr3:uid="{00000000-0010-0000-0000-0000DD000000}" name="Spalte219" totalsRowFunction="custom" dataDxfId="2080" totalsRowDxfId="151">
      <totalsRowFormula>IF(IF(AND(HO4&lt;=TODAY(),HO5&lt;&gt;"Sa",HO5&lt;&gt;"So"),COUNTIF(Tabelle1[Spalte219],"A"),IF(AND(HO5&lt;&gt;"Sa",HO5&lt;&gt;"So"),COUNTIF(Tabelle1[Spalte219],"")-1,""))&lt;0,0,IF(AND(HO4&lt;=TODAY(),HO5&lt;&gt;"Sa",HO5&lt;&gt;"So"),COUNTIF(Tabelle1[Spalte219],"A"),IF(AND(HO5&lt;&gt;"Sa",HO5&lt;&gt;"So"),COUNTIF(Tabelle1[Spalte219],"")-1,"")))</totalsRowFormula>
    </tableColumn>
    <tableColumn id="222" xr3:uid="{00000000-0010-0000-0000-0000DE000000}" name="Spalte220" totalsRowFunction="custom" dataDxfId="2079" totalsRowDxfId="150">
      <totalsRowFormula>IF(IF(AND(HP4&lt;=TODAY(),HP5&lt;&gt;"Sa",HP5&lt;&gt;"So"),COUNTIF(Tabelle1[Spalte220],"A"),IF(AND(HP5&lt;&gt;"Sa",HP5&lt;&gt;"So"),COUNTIF(Tabelle1[Spalte220],"")-1,""))&lt;0,0,IF(AND(HP4&lt;=TODAY(),HP5&lt;&gt;"Sa",HP5&lt;&gt;"So"),COUNTIF(Tabelle1[Spalte220],"A"),IF(AND(HP5&lt;&gt;"Sa",HP5&lt;&gt;"So"),COUNTIF(Tabelle1[Spalte220],"")-1,"")))</totalsRowFormula>
    </tableColumn>
    <tableColumn id="223" xr3:uid="{00000000-0010-0000-0000-0000DF000000}" name="Spalte221" totalsRowFunction="custom" dataDxfId="2078" totalsRowDxfId="149">
      <totalsRowFormula>IF(IF(AND(HQ4&lt;=TODAY(),HQ5&lt;&gt;"Sa",HQ5&lt;&gt;"So"),COUNTIF(Tabelle1[Spalte221],"A"),IF(AND(HQ5&lt;&gt;"Sa",HQ5&lt;&gt;"So"),COUNTIF(Tabelle1[Spalte221],"")-1,""))&lt;0,0,IF(AND(HQ4&lt;=TODAY(),HQ5&lt;&gt;"Sa",HQ5&lt;&gt;"So"),COUNTIF(Tabelle1[Spalte221],"A"),IF(AND(HQ5&lt;&gt;"Sa",HQ5&lt;&gt;"So"),COUNTIF(Tabelle1[Spalte221],"")-1,"")))</totalsRowFormula>
    </tableColumn>
    <tableColumn id="224" xr3:uid="{00000000-0010-0000-0000-0000E0000000}" name="Spalte222" totalsRowFunction="custom" dataDxfId="2077" totalsRowDxfId="148">
      <totalsRowFormula>IF(IF(AND(HR4&lt;=TODAY(),HR5&lt;&gt;"Sa",HR5&lt;&gt;"So"),COUNTIF(Tabelle1[Spalte222],"A"),IF(AND(HR5&lt;&gt;"Sa",HR5&lt;&gt;"So"),COUNTIF(Tabelle1[Spalte222],"")-1,""))&lt;0,0,IF(AND(HR4&lt;=TODAY(),HR5&lt;&gt;"Sa",HR5&lt;&gt;"So"),COUNTIF(Tabelle1[Spalte222],"A"),IF(AND(HR5&lt;&gt;"Sa",HR5&lt;&gt;"So"),COUNTIF(Tabelle1[Spalte222],"")-1,"")))</totalsRowFormula>
    </tableColumn>
    <tableColumn id="225" xr3:uid="{00000000-0010-0000-0000-0000E1000000}" name="Spalte223" totalsRowFunction="custom" dataDxfId="2076" totalsRowDxfId="147">
      <totalsRowFormula>IF(IF(AND(HS4&lt;=TODAY(),HS5&lt;&gt;"Sa",HS5&lt;&gt;"So"),COUNTIF(Tabelle1[Spalte223],"A"),IF(AND(HS5&lt;&gt;"Sa",HS5&lt;&gt;"So"),COUNTIF(Tabelle1[Spalte223],"")-1,""))&lt;0,0,IF(AND(HS4&lt;=TODAY(),HS5&lt;&gt;"Sa",HS5&lt;&gt;"So"),COUNTIF(Tabelle1[Spalte223],"A"),IF(AND(HS5&lt;&gt;"Sa",HS5&lt;&gt;"So"),COUNTIF(Tabelle1[Spalte223],"")-1,"")))</totalsRowFormula>
    </tableColumn>
    <tableColumn id="226" xr3:uid="{00000000-0010-0000-0000-0000E2000000}" name="Spalte224" totalsRowFunction="custom" dataDxfId="2075" totalsRowDxfId="146">
      <totalsRowFormula>IF(IF(AND(HT4&lt;=TODAY(),HT5&lt;&gt;"Sa",HT5&lt;&gt;"So"),COUNTIF(Tabelle1[Spalte224],"A"),IF(AND(HT5&lt;&gt;"Sa",HT5&lt;&gt;"So"),COUNTIF(Tabelle1[Spalte224],"")-1,""))&lt;0,0,IF(AND(HT4&lt;=TODAY(),HT5&lt;&gt;"Sa",HT5&lt;&gt;"So"),COUNTIF(Tabelle1[Spalte224],"A"),IF(AND(HT5&lt;&gt;"Sa",HT5&lt;&gt;"So"),COUNTIF(Tabelle1[Spalte224],"")-1,"")))</totalsRowFormula>
    </tableColumn>
    <tableColumn id="227" xr3:uid="{00000000-0010-0000-0000-0000E3000000}" name="Spalte225" totalsRowFunction="custom" dataDxfId="2074" totalsRowDxfId="145">
      <totalsRowFormula>IF(IF(AND(HU4&lt;=TODAY(),HU5&lt;&gt;"Sa",HU5&lt;&gt;"So"),COUNTIF(Tabelle1[Spalte225],"A"),IF(AND(HU5&lt;&gt;"Sa",HU5&lt;&gt;"So"),COUNTIF(Tabelle1[Spalte225],"")-1,""))&lt;0,0,IF(AND(HU4&lt;=TODAY(),HU5&lt;&gt;"Sa",HU5&lt;&gt;"So"),COUNTIF(Tabelle1[Spalte225],"A"),IF(AND(HU5&lt;&gt;"Sa",HU5&lt;&gt;"So"),COUNTIF(Tabelle1[Spalte225],"")-1,"")))</totalsRowFormula>
    </tableColumn>
    <tableColumn id="228" xr3:uid="{00000000-0010-0000-0000-0000E4000000}" name="Spalte226" totalsRowFunction="custom" dataDxfId="2073" totalsRowDxfId="144">
      <totalsRowFormula>IF(IF(AND(HV4&lt;=TODAY(),HV5&lt;&gt;"Sa",HV5&lt;&gt;"So"),COUNTIF(Tabelle1[Spalte226],"A"),IF(AND(HV5&lt;&gt;"Sa",HV5&lt;&gt;"So"),COUNTIF(Tabelle1[Spalte226],"")-1,""))&lt;0,0,IF(AND(HV4&lt;=TODAY(),HV5&lt;&gt;"Sa",HV5&lt;&gt;"So"),COUNTIF(Tabelle1[Spalte226],"A"),IF(AND(HV5&lt;&gt;"Sa",HV5&lt;&gt;"So"),COUNTIF(Tabelle1[Spalte226],"")-1,"")))</totalsRowFormula>
    </tableColumn>
    <tableColumn id="229" xr3:uid="{00000000-0010-0000-0000-0000E5000000}" name="Spalte227" totalsRowFunction="custom" dataDxfId="2072" totalsRowDxfId="143">
      <totalsRowFormula>IF(IF(AND(HW4&lt;=TODAY(),HW5&lt;&gt;"Sa",HW5&lt;&gt;"So"),COUNTIF(Tabelle1[Spalte227],"A"),IF(AND(HW5&lt;&gt;"Sa",HW5&lt;&gt;"So"),COUNTIF(Tabelle1[Spalte227],"")-1,""))&lt;0,0,IF(AND(HW4&lt;=TODAY(),HW5&lt;&gt;"Sa",HW5&lt;&gt;"So"),COUNTIF(Tabelle1[Spalte227],"A"),IF(AND(HW5&lt;&gt;"Sa",HW5&lt;&gt;"So"),COUNTIF(Tabelle1[Spalte227],"")-1,"")))</totalsRowFormula>
    </tableColumn>
    <tableColumn id="230" xr3:uid="{00000000-0010-0000-0000-0000E6000000}" name="Spalte228" totalsRowFunction="custom" dataDxfId="2071" totalsRowDxfId="142">
      <totalsRowFormula>IF(IF(AND(HX4&lt;=TODAY(),HX5&lt;&gt;"Sa",HX5&lt;&gt;"So"),COUNTIF(Tabelle1[Spalte228],"A"),IF(AND(HX5&lt;&gt;"Sa",HX5&lt;&gt;"So"),COUNTIF(Tabelle1[Spalte228],"")-1,""))&lt;0,0,IF(AND(HX4&lt;=TODAY(),HX5&lt;&gt;"Sa",HX5&lt;&gt;"So"),COUNTIF(Tabelle1[Spalte228],"A"),IF(AND(HX5&lt;&gt;"Sa",HX5&lt;&gt;"So"),COUNTIF(Tabelle1[Spalte228],"")-1,"")))</totalsRowFormula>
    </tableColumn>
    <tableColumn id="231" xr3:uid="{00000000-0010-0000-0000-0000E7000000}" name="Spalte229" totalsRowFunction="custom" dataDxfId="2070" totalsRowDxfId="141">
      <totalsRowFormula>IF(IF(AND(HY4&lt;=TODAY(),HY5&lt;&gt;"Sa",HY5&lt;&gt;"So"),COUNTIF(Tabelle1[Spalte229],"A"),IF(AND(HY5&lt;&gt;"Sa",HY5&lt;&gt;"So"),COUNTIF(Tabelle1[Spalte229],"")-1,""))&lt;0,0,IF(AND(HY4&lt;=TODAY(),HY5&lt;&gt;"Sa",HY5&lt;&gt;"So"),COUNTIF(Tabelle1[Spalte229],"A"),IF(AND(HY5&lt;&gt;"Sa",HY5&lt;&gt;"So"),COUNTIF(Tabelle1[Spalte229],"")-1,"")))</totalsRowFormula>
    </tableColumn>
    <tableColumn id="232" xr3:uid="{00000000-0010-0000-0000-0000E8000000}" name="Spalte230" totalsRowFunction="custom" dataDxfId="2069" totalsRowDxfId="140">
      <totalsRowFormula>IF(IF(AND(HZ4&lt;=TODAY(),HZ5&lt;&gt;"Sa",HZ5&lt;&gt;"So"),COUNTIF(Tabelle1[Spalte230],"A"),IF(AND(HZ5&lt;&gt;"Sa",HZ5&lt;&gt;"So"),COUNTIF(Tabelle1[Spalte230],"")-1,""))&lt;0,0,IF(AND(HZ4&lt;=TODAY(),HZ5&lt;&gt;"Sa",HZ5&lt;&gt;"So"),COUNTIF(Tabelle1[Spalte230],"A"),IF(AND(HZ5&lt;&gt;"Sa",HZ5&lt;&gt;"So"),COUNTIF(Tabelle1[Spalte230],"")-1,"")))</totalsRowFormula>
    </tableColumn>
    <tableColumn id="233" xr3:uid="{00000000-0010-0000-0000-0000E9000000}" name="Spalte231" totalsRowFunction="custom" dataDxfId="2068" totalsRowDxfId="139">
      <totalsRowFormula>IF(IF(AND(IA4&lt;=TODAY(),IA5&lt;&gt;"Sa",IA5&lt;&gt;"So"),COUNTIF(Tabelle1[Spalte231],"A"),IF(AND(IA5&lt;&gt;"Sa",IA5&lt;&gt;"So"),COUNTIF(Tabelle1[Spalte231],"")-1,""))&lt;0,0,IF(AND(IA4&lt;=TODAY(),IA5&lt;&gt;"Sa",IA5&lt;&gt;"So"),COUNTIF(Tabelle1[Spalte231],"A"),IF(AND(IA5&lt;&gt;"Sa",IA5&lt;&gt;"So"),COUNTIF(Tabelle1[Spalte231],"")-1,"")))</totalsRowFormula>
    </tableColumn>
    <tableColumn id="234" xr3:uid="{00000000-0010-0000-0000-0000EA000000}" name="Spalte232" totalsRowFunction="custom" dataDxfId="2067" totalsRowDxfId="138">
      <totalsRowFormula>IF(IF(AND(IB4&lt;=TODAY(),IB5&lt;&gt;"Sa",IB5&lt;&gt;"So"),COUNTIF(Tabelle1[Spalte232],"A"),IF(AND(IB5&lt;&gt;"Sa",IB5&lt;&gt;"So"),COUNTIF(Tabelle1[Spalte232],"")-1,""))&lt;0,0,IF(AND(IB4&lt;=TODAY(),IB5&lt;&gt;"Sa",IB5&lt;&gt;"So"),COUNTIF(Tabelle1[Spalte232],"A"),IF(AND(IB5&lt;&gt;"Sa",IB5&lt;&gt;"So"),COUNTIF(Tabelle1[Spalte232],"")-1,"")))</totalsRowFormula>
    </tableColumn>
    <tableColumn id="235" xr3:uid="{00000000-0010-0000-0000-0000EB000000}" name="Spalte233" totalsRowFunction="custom" dataDxfId="2066" totalsRowDxfId="137">
      <totalsRowFormula>IF(IF(AND(IC4&lt;=TODAY(),IC5&lt;&gt;"Sa",IC5&lt;&gt;"So"),COUNTIF(Tabelle1[Spalte233],"A"),IF(AND(IC5&lt;&gt;"Sa",IC5&lt;&gt;"So"),COUNTIF(Tabelle1[Spalte233],"")-1,""))&lt;0,0,IF(AND(IC4&lt;=TODAY(),IC5&lt;&gt;"Sa",IC5&lt;&gt;"So"),COUNTIF(Tabelle1[Spalte233],"A"),IF(AND(IC5&lt;&gt;"Sa",IC5&lt;&gt;"So"),COUNTIF(Tabelle1[Spalte233],"")-1,"")))</totalsRowFormula>
    </tableColumn>
    <tableColumn id="236" xr3:uid="{00000000-0010-0000-0000-0000EC000000}" name="Spalte234" totalsRowFunction="custom" dataDxfId="2065" totalsRowDxfId="136">
      <totalsRowFormula>IF(IF(AND(ID4&lt;=TODAY(),ID5&lt;&gt;"Sa",ID5&lt;&gt;"So"),COUNTIF(Tabelle1[Spalte234],"A"),IF(AND(ID5&lt;&gt;"Sa",ID5&lt;&gt;"So"),COUNTIF(Tabelle1[Spalte234],"")-1,""))&lt;0,0,IF(AND(ID4&lt;=TODAY(),ID5&lt;&gt;"Sa",ID5&lt;&gt;"So"),COUNTIF(Tabelle1[Spalte234],"A"),IF(AND(ID5&lt;&gt;"Sa",ID5&lt;&gt;"So"),COUNTIF(Tabelle1[Spalte234],"")-1,"")))</totalsRowFormula>
    </tableColumn>
    <tableColumn id="237" xr3:uid="{00000000-0010-0000-0000-0000ED000000}" name="Spalte235" totalsRowFunction="custom" dataDxfId="2064" totalsRowDxfId="135">
      <totalsRowFormula>IF(IF(AND(IE4&lt;=TODAY(),IE5&lt;&gt;"Sa",IE5&lt;&gt;"So"),COUNTIF(Tabelle1[Spalte235],"A"),IF(AND(IE5&lt;&gt;"Sa",IE5&lt;&gt;"So"),COUNTIF(Tabelle1[Spalte235],"")-1,""))&lt;0,0,IF(AND(IE4&lt;=TODAY(),IE5&lt;&gt;"Sa",IE5&lt;&gt;"So"),COUNTIF(Tabelle1[Spalte235],"A"),IF(AND(IE5&lt;&gt;"Sa",IE5&lt;&gt;"So"),COUNTIF(Tabelle1[Spalte235],"")-1,"")))</totalsRowFormula>
    </tableColumn>
    <tableColumn id="238" xr3:uid="{00000000-0010-0000-0000-0000EE000000}" name="Spalte236" totalsRowFunction="custom" dataDxfId="2063" totalsRowDxfId="134">
      <totalsRowFormula>IF(IF(AND(IF4&lt;=TODAY(),IF5&lt;&gt;"Sa",IF5&lt;&gt;"So"),COUNTIF(Tabelle1[Spalte236],"A"),IF(AND(IF5&lt;&gt;"Sa",IF5&lt;&gt;"So"),COUNTIF(Tabelle1[Spalte236],"")-1,""))&lt;0,0,IF(AND(IF4&lt;=TODAY(),IF5&lt;&gt;"Sa",IF5&lt;&gt;"So"),COUNTIF(Tabelle1[Spalte236],"A"),IF(AND(IF5&lt;&gt;"Sa",IF5&lt;&gt;"So"),COUNTIF(Tabelle1[Spalte236],"")-1,"")))</totalsRowFormula>
    </tableColumn>
    <tableColumn id="239" xr3:uid="{00000000-0010-0000-0000-0000EF000000}" name="Spalte237" totalsRowFunction="custom" dataDxfId="2062" totalsRowDxfId="133">
      <totalsRowFormula>IF(IF(AND(IG4&lt;=TODAY(),IG5&lt;&gt;"Sa",IG5&lt;&gt;"So"),COUNTIF(Tabelle1[Spalte237],"A"),IF(AND(IG5&lt;&gt;"Sa",IG5&lt;&gt;"So"),COUNTIF(Tabelle1[Spalte237],"")-1,""))&lt;0,0,IF(AND(IG4&lt;=TODAY(),IG5&lt;&gt;"Sa",IG5&lt;&gt;"So"),COUNTIF(Tabelle1[Spalte237],"A"),IF(AND(IG5&lt;&gt;"Sa",IG5&lt;&gt;"So"),COUNTIF(Tabelle1[Spalte237],"")-1,"")))</totalsRowFormula>
    </tableColumn>
    <tableColumn id="240" xr3:uid="{00000000-0010-0000-0000-0000F0000000}" name="Spalte238" totalsRowFunction="custom" dataDxfId="2061" totalsRowDxfId="132">
      <totalsRowFormula>IF(IF(AND(IH4&lt;=TODAY(),IH5&lt;&gt;"Sa",IH5&lt;&gt;"So"),COUNTIF(Tabelle1[Spalte238],"A"),IF(AND(IH5&lt;&gt;"Sa",IH5&lt;&gt;"So"),COUNTIF(Tabelle1[Spalte238],"")-1,""))&lt;0,0,IF(AND(IH4&lt;=TODAY(),IH5&lt;&gt;"Sa",IH5&lt;&gt;"So"),COUNTIF(Tabelle1[Spalte238],"A"),IF(AND(IH5&lt;&gt;"Sa",IH5&lt;&gt;"So"),COUNTIF(Tabelle1[Spalte238],"")-1,"")))</totalsRowFormula>
    </tableColumn>
    <tableColumn id="241" xr3:uid="{00000000-0010-0000-0000-0000F1000000}" name="Spalte239" totalsRowFunction="custom" dataDxfId="2060" totalsRowDxfId="131">
      <totalsRowFormula>IF(IF(AND(II4&lt;=TODAY(),II5&lt;&gt;"Sa",II5&lt;&gt;"So"),COUNTIF(Tabelle1[Spalte239],"A"),IF(AND(II5&lt;&gt;"Sa",II5&lt;&gt;"So"),COUNTIF(Tabelle1[Spalte239],"")-1,""))&lt;0,0,IF(AND(II4&lt;=TODAY(),II5&lt;&gt;"Sa",II5&lt;&gt;"So"),COUNTIF(Tabelle1[Spalte239],"A"),IF(AND(II5&lt;&gt;"Sa",II5&lt;&gt;"So"),COUNTIF(Tabelle1[Spalte239],"")-1,"")))</totalsRowFormula>
    </tableColumn>
    <tableColumn id="242" xr3:uid="{00000000-0010-0000-0000-0000F2000000}" name="Spalte240" totalsRowFunction="custom" dataDxfId="2059" totalsRowDxfId="130">
      <totalsRowFormula>IF(IF(AND(IJ4&lt;=TODAY(),IJ5&lt;&gt;"Sa",IJ5&lt;&gt;"So"),COUNTIF(Tabelle1[Spalte240],"A"),IF(AND(IJ5&lt;&gt;"Sa",IJ5&lt;&gt;"So"),COUNTIF(Tabelle1[Spalte240],"")-1,""))&lt;0,0,IF(AND(IJ4&lt;=TODAY(),IJ5&lt;&gt;"Sa",IJ5&lt;&gt;"So"),COUNTIF(Tabelle1[Spalte240],"A"),IF(AND(IJ5&lt;&gt;"Sa",IJ5&lt;&gt;"So"),COUNTIF(Tabelle1[Spalte240],"")-1,"")))</totalsRowFormula>
    </tableColumn>
    <tableColumn id="243" xr3:uid="{00000000-0010-0000-0000-0000F3000000}" name="Spalte241" totalsRowFunction="custom" dataDxfId="2058" totalsRowDxfId="129">
      <totalsRowFormula>IF(IF(AND(IK4&lt;=TODAY(),IK5&lt;&gt;"Sa",IK5&lt;&gt;"So"),COUNTIF(Tabelle1[Spalte241],"A"),IF(AND(IK5&lt;&gt;"Sa",IK5&lt;&gt;"So"),COUNTIF(Tabelle1[Spalte241],"")-1,""))&lt;0,0,IF(AND(IK4&lt;=TODAY(),IK5&lt;&gt;"Sa",IK5&lt;&gt;"So"),COUNTIF(Tabelle1[Spalte241],"A"),IF(AND(IK5&lt;&gt;"Sa",IK5&lt;&gt;"So"),COUNTIF(Tabelle1[Spalte241],"")-1,"")))</totalsRowFormula>
    </tableColumn>
    <tableColumn id="244" xr3:uid="{00000000-0010-0000-0000-0000F4000000}" name="Spalte242" totalsRowFunction="custom" dataDxfId="2057" totalsRowDxfId="128">
      <totalsRowFormula>IF(IF(AND(IL4&lt;=TODAY(),IL5&lt;&gt;"Sa",IL5&lt;&gt;"So"),COUNTIF(Tabelle1[Spalte242],"A"),IF(AND(IL5&lt;&gt;"Sa",IL5&lt;&gt;"So"),COUNTIF(Tabelle1[Spalte242],"")-1,""))&lt;0,0,IF(AND(IL4&lt;=TODAY(),IL5&lt;&gt;"Sa",IL5&lt;&gt;"So"),COUNTIF(Tabelle1[Spalte242],"A"),IF(AND(IL5&lt;&gt;"Sa",IL5&lt;&gt;"So"),COUNTIF(Tabelle1[Spalte242],"")-1,"")))</totalsRowFormula>
    </tableColumn>
    <tableColumn id="245" xr3:uid="{00000000-0010-0000-0000-0000F5000000}" name="Spalte243" totalsRowFunction="custom" dataDxfId="2056" totalsRowDxfId="127">
      <totalsRowFormula>IF(IF(AND(IM4&lt;=TODAY(),IM5&lt;&gt;"Sa",IM5&lt;&gt;"So"),COUNTIF(Tabelle1[Spalte243],"A"),IF(AND(IM5&lt;&gt;"Sa",IM5&lt;&gt;"So"),COUNTIF(Tabelle1[Spalte243],"")-1,""))&lt;0,0,IF(AND(IM4&lt;=TODAY(),IM5&lt;&gt;"Sa",IM5&lt;&gt;"So"),COUNTIF(Tabelle1[Spalte243],"A"),IF(AND(IM5&lt;&gt;"Sa",IM5&lt;&gt;"So"),COUNTIF(Tabelle1[Spalte243],"")-1,"")))</totalsRowFormula>
    </tableColumn>
    <tableColumn id="246" xr3:uid="{00000000-0010-0000-0000-0000F6000000}" name="Spalte244" totalsRowFunction="custom" dataDxfId="2055" totalsRowDxfId="126">
      <totalsRowFormula>IF(IF(AND(IN4&lt;=TODAY(),IN5&lt;&gt;"Sa",IN5&lt;&gt;"So"),COUNTIF(Tabelle1[Spalte244],"A"),IF(AND(IN5&lt;&gt;"Sa",IN5&lt;&gt;"So"),COUNTIF(Tabelle1[Spalte244],"")-1,""))&lt;0,0,IF(AND(IN4&lt;=TODAY(),IN5&lt;&gt;"Sa",IN5&lt;&gt;"So"),COUNTIF(Tabelle1[Spalte244],"A"),IF(AND(IN5&lt;&gt;"Sa",IN5&lt;&gt;"So"),COUNTIF(Tabelle1[Spalte244],"")-1,"")))</totalsRowFormula>
    </tableColumn>
    <tableColumn id="247" xr3:uid="{00000000-0010-0000-0000-0000F7000000}" name="Spalte245" totalsRowFunction="custom" dataDxfId="2054" totalsRowDxfId="125">
      <totalsRowFormula>IF(IF(AND(IO4&lt;=TODAY(),IO5&lt;&gt;"Sa",IO5&lt;&gt;"So"),COUNTIF(Tabelle1[Spalte245],"A"),IF(AND(IO5&lt;&gt;"Sa",IO5&lt;&gt;"So"),COUNTIF(Tabelle1[Spalte245],"")-1,""))&lt;0,0,IF(AND(IO4&lt;=TODAY(),IO5&lt;&gt;"Sa",IO5&lt;&gt;"So"),COUNTIF(Tabelle1[Spalte245],"A"),IF(AND(IO5&lt;&gt;"Sa",IO5&lt;&gt;"So"),COUNTIF(Tabelle1[Spalte245],"")-1,"")))</totalsRowFormula>
    </tableColumn>
    <tableColumn id="248" xr3:uid="{00000000-0010-0000-0000-0000F8000000}" name="Spalte246" totalsRowFunction="custom" dataDxfId="2053" totalsRowDxfId="124">
      <totalsRowFormula>IF(IF(AND(IP4&lt;=TODAY(),IP5&lt;&gt;"Sa",IP5&lt;&gt;"So"),COUNTIF(Tabelle1[Spalte246],"A"),IF(AND(IP5&lt;&gt;"Sa",IP5&lt;&gt;"So"),COUNTIF(Tabelle1[Spalte246],"")-1,""))&lt;0,0,IF(AND(IP4&lt;=TODAY(),IP5&lt;&gt;"Sa",IP5&lt;&gt;"So"),COUNTIF(Tabelle1[Spalte246],"A"),IF(AND(IP5&lt;&gt;"Sa",IP5&lt;&gt;"So"),COUNTIF(Tabelle1[Spalte246],"")-1,"")))</totalsRowFormula>
    </tableColumn>
    <tableColumn id="249" xr3:uid="{00000000-0010-0000-0000-0000F9000000}" name="Spalte247" totalsRowFunction="custom" dataDxfId="2052" totalsRowDxfId="123">
      <totalsRowFormula>IF(IF(AND(IQ4&lt;=TODAY(),IQ5&lt;&gt;"Sa",IQ5&lt;&gt;"So"),COUNTIF(Tabelle1[Spalte247],"A"),IF(AND(IQ5&lt;&gt;"Sa",IQ5&lt;&gt;"So"),COUNTIF(Tabelle1[Spalte247],"")-1,""))&lt;0,0,IF(AND(IQ4&lt;=TODAY(),IQ5&lt;&gt;"Sa",IQ5&lt;&gt;"So"),COUNTIF(Tabelle1[Spalte247],"A"),IF(AND(IQ5&lt;&gt;"Sa",IQ5&lt;&gt;"So"),COUNTIF(Tabelle1[Spalte247],"")-1,"")))</totalsRowFormula>
    </tableColumn>
    <tableColumn id="250" xr3:uid="{00000000-0010-0000-0000-0000FA000000}" name="Spalte248" totalsRowFunction="custom" dataDxfId="2051" totalsRowDxfId="122">
      <totalsRowFormula>IF(IF(AND(IR4&lt;=TODAY(),IR5&lt;&gt;"Sa",IR5&lt;&gt;"So"),COUNTIF(Tabelle1[Spalte248],"A"),IF(AND(IR5&lt;&gt;"Sa",IR5&lt;&gt;"So"),COUNTIF(Tabelle1[Spalte248],"")-1,""))&lt;0,0,IF(AND(IR4&lt;=TODAY(),IR5&lt;&gt;"Sa",IR5&lt;&gt;"So"),COUNTIF(Tabelle1[Spalte248],"A"),IF(AND(IR5&lt;&gt;"Sa",IR5&lt;&gt;"So"),COUNTIF(Tabelle1[Spalte248],"")-1,"")))</totalsRowFormula>
    </tableColumn>
    <tableColumn id="251" xr3:uid="{00000000-0010-0000-0000-0000FB000000}" name="Spalte249" totalsRowFunction="custom" dataDxfId="2050" totalsRowDxfId="121">
      <totalsRowFormula>IF(IF(AND(IS4&lt;=TODAY(),IS5&lt;&gt;"Sa",IS5&lt;&gt;"So"),COUNTIF(Tabelle1[Spalte249],"A"),IF(AND(IS5&lt;&gt;"Sa",IS5&lt;&gt;"So"),COUNTIF(Tabelle1[Spalte249],"")-1,""))&lt;0,0,IF(AND(IS4&lt;=TODAY(),IS5&lt;&gt;"Sa",IS5&lt;&gt;"So"),COUNTIF(Tabelle1[Spalte249],"A"),IF(AND(IS5&lt;&gt;"Sa",IS5&lt;&gt;"So"),COUNTIF(Tabelle1[Spalte249],"")-1,"")))</totalsRowFormula>
    </tableColumn>
    <tableColumn id="252" xr3:uid="{00000000-0010-0000-0000-0000FC000000}" name="Spalte250" totalsRowFunction="custom" dataDxfId="2049" totalsRowDxfId="120">
      <totalsRowFormula>IF(IF(AND(IT4&lt;=TODAY(),IT5&lt;&gt;"Sa",IT5&lt;&gt;"So"),COUNTIF(Tabelle1[Spalte250],"A"),IF(AND(IT5&lt;&gt;"Sa",IT5&lt;&gt;"So"),COUNTIF(Tabelle1[Spalte250],"")-1,""))&lt;0,0,IF(AND(IT4&lt;=TODAY(),IT5&lt;&gt;"Sa",IT5&lt;&gt;"So"),COUNTIF(Tabelle1[Spalte250],"A"),IF(AND(IT5&lt;&gt;"Sa",IT5&lt;&gt;"So"),COUNTIF(Tabelle1[Spalte250],"")-1,"")))</totalsRowFormula>
    </tableColumn>
    <tableColumn id="253" xr3:uid="{00000000-0010-0000-0000-0000FD000000}" name="Spalte251" totalsRowFunction="custom" dataDxfId="2048" totalsRowDxfId="119">
      <totalsRowFormula>IF(IF(AND(IU4&lt;=TODAY(),IU5&lt;&gt;"Sa",IU5&lt;&gt;"So"),COUNTIF(Tabelle1[Spalte251],"A"),IF(AND(IU5&lt;&gt;"Sa",IU5&lt;&gt;"So"),COUNTIF(Tabelle1[Spalte251],"")-1,""))&lt;0,0,IF(AND(IU4&lt;=TODAY(),IU5&lt;&gt;"Sa",IU5&lt;&gt;"So"),COUNTIF(Tabelle1[Spalte251],"A"),IF(AND(IU5&lt;&gt;"Sa",IU5&lt;&gt;"So"),COUNTIF(Tabelle1[Spalte251],"")-1,"")))</totalsRowFormula>
    </tableColumn>
    <tableColumn id="254" xr3:uid="{00000000-0010-0000-0000-0000FE000000}" name="Spalte252" totalsRowFunction="custom" dataDxfId="2047" totalsRowDxfId="118">
      <totalsRowFormula>IF(IF(AND(IV4&lt;=TODAY(),IV5&lt;&gt;"Sa",IV5&lt;&gt;"So"),COUNTIF(Tabelle1[Spalte252],"A"),IF(AND(IV5&lt;&gt;"Sa",IV5&lt;&gt;"So"),COUNTIF(Tabelle1[Spalte252],"")-1,""))&lt;0,0,IF(AND(IV4&lt;=TODAY(),IV5&lt;&gt;"Sa",IV5&lt;&gt;"So"),COUNTIF(Tabelle1[Spalte252],"A"),IF(AND(IV5&lt;&gt;"Sa",IV5&lt;&gt;"So"),COUNTIF(Tabelle1[Spalte252],"")-1,"")))</totalsRowFormula>
    </tableColumn>
    <tableColumn id="255" xr3:uid="{00000000-0010-0000-0000-0000FF000000}" name="Spalte253" totalsRowFunction="custom" dataDxfId="2046" totalsRowDxfId="117">
      <totalsRowFormula>IF(IF(AND(IW4&lt;=TODAY(),IW5&lt;&gt;"Sa",IW5&lt;&gt;"So"),COUNTIF(Tabelle1[Spalte253],"A"),IF(AND(IW5&lt;&gt;"Sa",IW5&lt;&gt;"So"),COUNTIF(Tabelle1[Spalte253],"")-1,""))&lt;0,0,IF(AND(IW4&lt;=TODAY(),IW5&lt;&gt;"Sa",IW5&lt;&gt;"So"),COUNTIF(Tabelle1[Spalte253],"A"),IF(AND(IW5&lt;&gt;"Sa",IW5&lt;&gt;"So"),COUNTIF(Tabelle1[Spalte253],"")-1,"")))</totalsRowFormula>
    </tableColumn>
    <tableColumn id="256" xr3:uid="{00000000-0010-0000-0000-000000010000}" name="Spalte254" totalsRowFunction="custom" dataDxfId="2045" totalsRowDxfId="116">
      <totalsRowFormula>IF(IF(AND(IX4&lt;=TODAY(),IX5&lt;&gt;"Sa",IX5&lt;&gt;"So"),COUNTIF(Tabelle1[Spalte254],"A"),IF(AND(IX5&lt;&gt;"Sa",IX5&lt;&gt;"So"),COUNTIF(Tabelle1[Spalte254],"")-1,""))&lt;0,0,IF(AND(IX4&lt;=TODAY(),IX5&lt;&gt;"Sa",IX5&lt;&gt;"So"),COUNTIF(Tabelle1[Spalte254],"A"),IF(AND(IX5&lt;&gt;"Sa",IX5&lt;&gt;"So"),COUNTIF(Tabelle1[Spalte254],"")-1,"")))</totalsRowFormula>
    </tableColumn>
    <tableColumn id="257" xr3:uid="{00000000-0010-0000-0000-000001010000}" name="Spalte255" totalsRowFunction="custom" dataDxfId="2044" totalsRowDxfId="115">
      <totalsRowFormula>IF(IF(AND(IY4&lt;=TODAY(),IY5&lt;&gt;"Sa",IY5&lt;&gt;"So"),COUNTIF(Tabelle1[Spalte255],"A"),IF(AND(IY5&lt;&gt;"Sa",IY5&lt;&gt;"So"),COUNTIF(Tabelle1[Spalte255],"")-1,""))&lt;0,0,IF(AND(IY4&lt;=TODAY(),IY5&lt;&gt;"Sa",IY5&lt;&gt;"So"),COUNTIF(Tabelle1[Spalte255],"A"),IF(AND(IY5&lt;&gt;"Sa",IY5&lt;&gt;"So"),COUNTIF(Tabelle1[Spalte255],"")-1,"")))</totalsRowFormula>
    </tableColumn>
    <tableColumn id="258" xr3:uid="{00000000-0010-0000-0000-000002010000}" name="Spalte256" totalsRowFunction="custom" dataDxfId="2043" totalsRowDxfId="114">
      <totalsRowFormula>IF(IF(AND(IZ4&lt;=TODAY(),IZ5&lt;&gt;"Sa",IZ5&lt;&gt;"So"),COUNTIF(Tabelle1[Spalte256],"A"),IF(AND(IZ5&lt;&gt;"Sa",IZ5&lt;&gt;"So"),COUNTIF(Tabelle1[Spalte256],"")-1,""))&lt;0,0,IF(AND(IZ4&lt;=TODAY(),IZ5&lt;&gt;"Sa",IZ5&lt;&gt;"So"),COUNTIF(Tabelle1[Spalte256],"A"),IF(AND(IZ5&lt;&gt;"Sa",IZ5&lt;&gt;"So"),COUNTIF(Tabelle1[Spalte256],"")-1,"")))</totalsRowFormula>
    </tableColumn>
    <tableColumn id="259" xr3:uid="{00000000-0010-0000-0000-000003010000}" name="Spalte257" totalsRowFunction="custom" dataDxfId="2042" totalsRowDxfId="113">
      <totalsRowFormula>IF(IF(AND(JA4&lt;=TODAY(),JA5&lt;&gt;"Sa",JA5&lt;&gt;"So"),COUNTIF(Tabelle1[Spalte257],"A"),IF(AND(JA5&lt;&gt;"Sa",JA5&lt;&gt;"So"),COUNTIF(Tabelle1[Spalte257],"")-1,""))&lt;0,0,IF(AND(JA4&lt;=TODAY(),JA5&lt;&gt;"Sa",JA5&lt;&gt;"So"),COUNTIF(Tabelle1[Spalte257],"A"),IF(AND(JA5&lt;&gt;"Sa",JA5&lt;&gt;"So"),COUNTIF(Tabelle1[Spalte257],"")-1,"")))</totalsRowFormula>
    </tableColumn>
    <tableColumn id="260" xr3:uid="{00000000-0010-0000-0000-000004010000}" name="Spalte258" totalsRowFunction="custom" dataDxfId="2041" totalsRowDxfId="112">
      <totalsRowFormula>IF(IF(AND(JB4&lt;=TODAY(),JB5&lt;&gt;"Sa",JB5&lt;&gt;"So"),COUNTIF(Tabelle1[Spalte258],"A"),IF(AND(JB5&lt;&gt;"Sa",JB5&lt;&gt;"So"),COUNTIF(Tabelle1[Spalte258],"")-1,""))&lt;0,0,IF(AND(JB4&lt;=TODAY(),JB5&lt;&gt;"Sa",JB5&lt;&gt;"So"),COUNTIF(Tabelle1[Spalte258],"A"),IF(AND(JB5&lt;&gt;"Sa",JB5&lt;&gt;"So"),COUNTIF(Tabelle1[Spalte258],"")-1,"")))</totalsRowFormula>
    </tableColumn>
    <tableColumn id="261" xr3:uid="{00000000-0010-0000-0000-000005010000}" name="Spalte259" totalsRowFunction="custom" dataDxfId="2040" totalsRowDxfId="111">
      <totalsRowFormula>IF(IF(AND(JC4&lt;=TODAY(),JC5&lt;&gt;"Sa",JC5&lt;&gt;"So"),COUNTIF(Tabelle1[Spalte259],"A"),IF(AND(JC5&lt;&gt;"Sa",JC5&lt;&gt;"So"),COUNTIF(Tabelle1[Spalte259],"")-1,""))&lt;0,0,IF(AND(JC4&lt;=TODAY(),JC5&lt;&gt;"Sa",JC5&lt;&gt;"So"),COUNTIF(Tabelle1[Spalte259],"A"),IF(AND(JC5&lt;&gt;"Sa",JC5&lt;&gt;"So"),COUNTIF(Tabelle1[Spalte259],"")-1,"")))</totalsRowFormula>
    </tableColumn>
    <tableColumn id="262" xr3:uid="{00000000-0010-0000-0000-000006010000}" name="Spalte260" totalsRowFunction="custom" dataDxfId="2039" totalsRowDxfId="110">
      <totalsRowFormula>IF(IF(AND(JD4&lt;=TODAY(),JD5&lt;&gt;"Sa",JD5&lt;&gt;"So"),COUNTIF(Tabelle1[Spalte260],"A"),IF(AND(JD5&lt;&gt;"Sa",JD5&lt;&gt;"So"),COUNTIF(Tabelle1[Spalte260],"")-1,""))&lt;0,0,IF(AND(JD4&lt;=TODAY(),JD5&lt;&gt;"Sa",JD5&lt;&gt;"So"),COUNTIF(Tabelle1[Spalte260],"A"),IF(AND(JD5&lt;&gt;"Sa",JD5&lt;&gt;"So"),COUNTIF(Tabelle1[Spalte260],"")-1,"")))</totalsRowFormula>
    </tableColumn>
    <tableColumn id="263" xr3:uid="{00000000-0010-0000-0000-000007010000}" name="Spalte261" totalsRowFunction="custom" dataDxfId="2038" totalsRowDxfId="109">
      <totalsRowFormula>IF(IF(AND(JE4&lt;=TODAY(),JE5&lt;&gt;"Sa",JE5&lt;&gt;"So"),COUNTIF(Tabelle1[Spalte261],"A"),IF(AND(JE5&lt;&gt;"Sa",JE5&lt;&gt;"So"),COUNTIF(Tabelle1[Spalte261],"")-1,""))&lt;0,0,IF(AND(JE4&lt;=TODAY(),JE5&lt;&gt;"Sa",JE5&lt;&gt;"So"),COUNTIF(Tabelle1[Spalte261],"A"),IF(AND(JE5&lt;&gt;"Sa",JE5&lt;&gt;"So"),COUNTIF(Tabelle1[Spalte261],"")-1,"")))</totalsRowFormula>
    </tableColumn>
    <tableColumn id="264" xr3:uid="{00000000-0010-0000-0000-000008010000}" name="Spalte262" totalsRowFunction="custom" dataDxfId="2037" totalsRowDxfId="108">
      <totalsRowFormula>IF(IF(AND(JF4&lt;=TODAY(),JF5&lt;&gt;"Sa",JF5&lt;&gt;"So"),COUNTIF(Tabelle1[Spalte262],"A"),IF(AND(JF5&lt;&gt;"Sa",JF5&lt;&gt;"So"),COUNTIF(Tabelle1[Spalte262],"")-1,""))&lt;0,0,IF(AND(JF4&lt;=TODAY(),JF5&lt;&gt;"Sa",JF5&lt;&gt;"So"),COUNTIF(Tabelle1[Spalte262],"A"),IF(AND(JF5&lt;&gt;"Sa",JF5&lt;&gt;"So"),COUNTIF(Tabelle1[Spalte262],"")-1,"")))</totalsRowFormula>
    </tableColumn>
    <tableColumn id="265" xr3:uid="{00000000-0010-0000-0000-000009010000}" name="Spalte263" totalsRowFunction="custom" dataDxfId="2036" totalsRowDxfId="107">
      <totalsRowFormula>IF(IF(AND(JG4&lt;=TODAY(),JG5&lt;&gt;"Sa",JG5&lt;&gt;"So"),COUNTIF(Tabelle1[Spalte263],"A"),IF(AND(JG5&lt;&gt;"Sa",JG5&lt;&gt;"So"),COUNTIF(Tabelle1[Spalte263],"")-1,""))&lt;0,0,IF(AND(JG4&lt;=TODAY(),JG5&lt;&gt;"Sa",JG5&lt;&gt;"So"),COUNTIF(Tabelle1[Spalte263],"A"),IF(AND(JG5&lt;&gt;"Sa",JG5&lt;&gt;"So"),COUNTIF(Tabelle1[Spalte263],"")-1,"")))</totalsRowFormula>
    </tableColumn>
    <tableColumn id="266" xr3:uid="{00000000-0010-0000-0000-00000A010000}" name="Spalte264" totalsRowFunction="custom" dataDxfId="2035" totalsRowDxfId="106">
      <totalsRowFormula>IF(IF(AND(JH4&lt;=TODAY(),JH5&lt;&gt;"Sa",JH5&lt;&gt;"So"),COUNTIF(Tabelle1[Spalte264],"A"),IF(AND(JH5&lt;&gt;"Sa",JH5&lt;&gt;"So"),COUNTIF(Tabelle1[Spalte264],"")-1,""))&lt;0,0,IF(AND(JH4&lt;=TODAY(),JH5&lt;&gt;"Sa",JH5&lt;&gt;"So"),COUNTIF(Tabelle1[Spalte264],"A"),IF(AND(JH5&lt;&gt;"Sa",JH5&lt;&gt;"So"),COUNTIF(Tabelle1[Spalte264],"")-1,"")))</totalsRowFormula>
    </tableColumn>
    <tableColumn id="267" xr3:uid="{00000000-0010-0000-0000-00000B010000}" name="Spalte265" totalsRowFunction="custom" dataDxfId="2034" totalsRowDxfId="105">
      <totalsRowFormula>IF(IF(AND(JI4&lt;=TODAY(),JI5&lt;&gt;"Sa",JI5&lt;&gt;"So"),COUNTIF(Tabelle1[Spalte265],"A"),IF(AND(JI5&lt;&gt;"Sa",JI5&lt;&gt;"So"),COUNTIF(Tabelle1[Spalte265],"")-1,""))&lt;0,0,IF(AND(JI4&lt;=TODAY(),JI5&lt;&gt;"Sa",JI5&lt;&gt;"So"),COUNTIF(Tabelle1[Spalte265],"A"),IF(AND(JI5&lt;&gt;"Sa",JI5&lt;&gt;"So"),COUNTIF(Tabelle1[Spalte265],"")-1,"")))</totalsRowFormula>
    </tableColumn>
    <tableColumn id="268" xr3:uid="{00000000-0010-0000-0000-00000C010000}" name="Spalte266" totalsRowFunction="custom" dataDxfId="2033" totalsRowDxfId="104">
      <totalsRowFormula>IF(IF(AND(JJ4&lt;=TODAY(),JJ5&lt;&gt;"Sa",JJ5&lt;&gt;"So"),COUNTIF(Tabelle1[Spalte266],"A"),IF(AND(JJ5&lt;&gt;"Sa",JJ5&lt;&gt;"So"),COUNTIF(Tabelle1[Spalte266],"")-1,""))&lt;0,0,IF(AND(JJ4&lt;=TODAY(),JJ5&lt;&gt;"Sa",JJ5&lt;&gt;"So"),COUNTIF(Tabelle1[Spalte266],"A"),IF(AND(JJ5&lt;&gt;"Sa",JJ5&lt;&gt;"So"),COUNTIF(Tabelle1[Spalte266],"")-1,"")))</totalsRowFormula>
    </tableColumn>
    <tableColumn id="269" xr3:uid="{00000000-0010-0000-0000-00000D010000}" name="Spalte267" totalsRowFunction="custom" dataDxfId="2032" totalsRowDxfId="103">
      <totalsRowFormula>IF(IF(AND(JK4&lt;=TODAY(),JK5&lt;&gt;"Sa",JK5&lt;&gt;"So"),COUNTIF(Tabelle1[Spalte267],"A"),IF(AND(JK5&lt;&gt;"Sa",JK5&lt;&gt;"So"),COUNTIF(Tabelle1[Spalte267],"")-1,""))&lt;0,0,IF(AND(JK4&lt;=TODAY(),JK5&lt;&gt;"Sa",JK5&lt;&gt;"So"),COUNTIF(Tabelle1[Spalte267],"A"),IF(AND(JK5&lt;&gt;"Sa",JK5&lt;&gt;"So"),COUNTIF(Tabelle1[Spalte267],"")-1,"")))</totalsRowFormula>
    </tableColumn>
    <tableColumn id="270" xr3:uid="{00000000-0010-0000-0000-00000E010000}" name="Spalte268" totalsRowFunction="custom" dataDxfId="2031" totalsRowDxfId="102">
      <totalsRowFormula>IF(IF(AND(JL4&lt;=TODAY(),JL5&lt;&gt;"Sa",JL5&lt;&gt;"So"),COUNTIF(Tabelle1[Spalte268],"A"),IF(AND(JL5&lt;&gt;"Sa",JL5&lt;&gt;"So"),COUNTIF(Tabelle1[Spalte268],"")-1,""))&lt;0,0,IF(AND(JL4&lt;=TODAY(),JL5&lt;&gt;"Sa",JL5&lt;&gt;"So"),COUNTIF(Tabelle1[Spalte268],"A"),IF(AND(JL5&lt;&gt;"Sa",JL5&lt;&gt;"So"),COUNTIF(Tabelle1[Spalte268],"")-1,"")))</totalsRowFormula>
    </tableColumn>
    <tableColumn id="271" xr3:uid="{00000000-0010-0000-0000-00000F010000}" name="Spalte269" totalsRowFunction="custom" dataDxfId="2030" totalsRowDxfId="101">
      <totalsRowFormula>IF(IF(AND(JM4&lt;=TODAY(),JM5&lt;&gt;"Sa",JM5&lt;&gt;"So"),COUNTIF(Tabelle1[Spalte269],"A"),IF(AND(JM5&lt;&gt;"Sa",JM5&lt;&gt;"So"),COUNTIF(Tabelle1[Spalte269],"")-1,""))&lt;0,0,IF(AND(JM4&lt;=TODAY(),JM5&lt;&gt;"Sa",JM5&lt;&gt;"So"),COUNTIF(Tabelle1[Spalte269],"A"),IF(AND(JM5&lt;&gt;"Sa",JM5&lt;&gt;"So"),COUNTIF(Tabelle1[Spalte269],"")-1,"")))</totalsRowFormula>
    </tableColumn>
    <tableColumn id="272" xr3:uid="{00000000-0010-0000-0000-000010010000}" name="Spalte270" totalsRowFunction="custom" dataDxfId="2029" totalsRowDxfId="100">
      <totalsRowFormula>IF(IF(AND(JN4&lt;=TODAY(),JN5&lt;&gt;"Sa",JN5&lt;&gt;"So"),COUNTIF(Tabelle1[Spalte270],"A"),IF(AND(JN5&lt;&gt;"Sa",JN5&lt;&gt;"So"),COUNTIF(Tabelle1[Spalte270],"")-1,""))&lt;0,0,IF(AND(JN4&lt;=TODAY(),JN5&lt;&gt;"Sa",JN5&lt;&gt;"So"),COUNTIF(Tabelle1[Spalte270],"A"),IF(AND(JN5&lt;&gt;"Sa",JN5&lt;&gt;"So"),COUNTIF(Tabelle1[Spalte270],"")-1,"")))</totalsRowFormula>
    </tableColumn>
    <tableColumn id="273" xr3:uid="{00000000-0010-0000-0000-000011010000}" name="Spalte271" totalsRowFunction="custom" dataDxfId="2028" totalsRowDxfId="99">
      <totalsRowFormula>IF(IF(AND(JO4&lt;=TODAY(),JO5&lt;&gt;"Sa",JO5&lt;&gt;"So"),COUNTIF(Tabelle1[Spalte271],"A"),IF(AND(JO5&lt;&gt;"Sa",JO5&lt;&gt;"So"),COUNTIF(Tabelle1[Spalte271],"")-1,""))&lt;0,0,IF(AND(JO4&lt;=TODAY(),JO5&lt;&gt;"Sa",JO5&lt;&gt;"So"),COUNTIF(Tabelle1[Spalte271],"A"),IF(AND(JO5&lt;&gt;"Sa",JO5&lt;&gt;"So"),COUNTIF(Tabelle1[Spalte271],"")-1,"")))</totalsRowFormula>
    </tableColumn>
    <tableColumn id="274" xr3:uid="{00000000-0010-0000-0000-000012010000}" name="Spalte272" totalsRowFunction="custom" dataDxfId="2027" totalsRowDxfId="98">
      <totalsRowFormula>IF(IF(AND(JP4&lt;=TODAY(),JP5&lt;&gt;"Sa",JP5&lt;&gt;"So"),COUNTIF(Tabelle1[Spalte272],"A"),IF(AND(JP5&lt;&gt;"Sa",JP5&lt;&gt;"So"),COUNTIF(Tabelle1[Spalte272],"")-1,""))&lt;0,0,IF(AND(JP4&lt;=TODAY(),JP5&lt;&gt;"Sa",JP5&lt;&gt;"So"),COUNTIF(Tabelle1[Spalte272],"A"),IF(AND(JP5&lt;&gt;"Sa",JP5&lt;&gt;"So"),COUNTIF(Tabelle1[Spalte272],"")-1,"")))</totalsRowFormula>
    </tableColumn>
    <tableColumn id="275" xr3:uid="{00000000-0010-0000-0000-000013010000}" name="Spalte273" totalsRowFunction="custom" dataDxfId="2026" totalsRowDxfId="97">
      <totalsRowFormula>IF(IF(AND(JQ4&lt;=TODAY(),JQ5&lt;&gt;"Sa",JQ5&lt;&gt;"So"),COUNTIF(Tabelle1[Spalte273],"A"),IF(AND(JQ5&lt;&gt;"Sa",JQ5&lt;&gt;"So"),COUNTIF(Tabelle1[Spalte273],"")-1,""))&lt;0,0,IF(AND(JQ4&lt;=TODAY(),JQ5&lt;&gt;"Sa",JQ5&lt;&gt;"So"),COUNTIF(Tabelle1[Spalte273],"A"),IF(AND(JQ5&lt;&gt;"Sa",JQ5&lt;&gt;"So"),COUNTIF(Tabelle1[Spalte273],"")-1,"")))</totalsRowFormula>
    </tableColumn>
    <tableColumn id="276" xr3:uid="{00000000-0010-0000-0000-000014010000}" name="Spalte274" totalsRowFunction="custom" dataDxfId="2025" totalsRowDxfId="96">
      <totalsRowFormula>IF(IF(AND(JR4&lt;=TODAY(),JR5&lt;&gt;"Sa",JR5&lt;&gt;"So"),COUNTIF(Tabelle1[Spalte274],"A"),IF(AND(JR5&lt;&gt;"Sa",JR5&lt;&gt;"So"),COUNTIF(Tabelle1[Spalte274],"")-1,""))&lt;0,0,IF(AND(JR4&lt;=TODAY(),JR5&lt;&gt;"Sa",JR5&lt;&gt;"So"),COUNTIF(Tabelle1[Spalte274],"A"),IF(AND(JR5&lt;&gt;"Sa",JR5&lt;&gt;"So"),COUNTIF(Tabelle1[Spalte274],"")-1,"")))</totalsRowFormula>
    </tableColumn>
    <tableColumn id="277" xr3:uid="{00000000-0010-0000-0000-000015010000}" name="Spalte275" totalsRowFunction="custom" dataDxfId="2024" totalsRowDxfId="95">
      <totalsRowFormula>IF(IF(AND(JS4&lt;=TODAY(),JS5&lt;&gt;"Sa",JS5&lt;&gt;"So"),COUNTIF(Tabelle1[Spalte275],"A"),IF(AND(JS5&lt;&gt;"Sa",JS5&lt;&gt;"So"),COUNTIF(Tabelle1[Spalte275],"")-1,""))&lt;0,0,IF(AND(JS4&lt;=TODAY(),JS5&lt;&gt;"Sa",JS5&lt;&gt;"So"),COUNTIF(Tabelle1[Spalte275],"A"),IF(AND(JS5&lt;&gt;"Sa",JS5&lt;&gt;"So"),COUNTIF(Tabelle1[Spalte275],"")-1,"")))</totalsRowFormula>
    </tableColumn>
    <tableColumn id="278" xr3:uid="{00000000-0010-0000-0000-000016010000}" name="Spalte276" totalsRowFunction="custom" dataDxfId="2023" totalsRowDxfId="94">
      <totalsRowFormula>IF(IF(AND(JT4&lt;=TODAY(),JT5&lt;&gt;"Sa",JT5&lt;&gt;"So"),COUNTIF(Tabelle1[Spalte276],"A"),IF(AND(JT5&lt;&gt;"Sa",JT5&lt;&gt;"So"),COUNTIF(Tabelle1[Spalte276],"")-1,""))&lt;0,0,IF(AND(JT4&lt;=TODAY(),JT5&lt;&gt;"Sa",JT5&lt;&gt;"So"),COUNTIF(Tabelle1[Spalte276],"A"),IF(AND(JT5&lt;&gt;"Sa",JT5&lt;&gt;"So"),COUNTIF(Tabelle1[Spalte276],"")-1,"")))</totalsRowFormula>
    </tableColumn>
    <tableColumn id="279" xr3:uid="{00000000-0010-0000-0000-000017010000}" name="Spalte277" totalsRowFunction="custom" dataDxfId="2022" totalsRowDxfId="93">
      <totalsRowFormula>IF(IF(AND(JU4&lt;=TODAY(),JU5&lt;&gt;"Sa",JU5&lt;&gt;"So"),COUNTIF(Tabelle1[Spalte277],"A"),IF(AND(JU5&lt;&gt;"Sa",JU5&lt;&gt;"So"),COUNTIF(Tabelle1[Spalte277],"")-1,""))&lt;0,0,IF(AND(JU4&lt;=TODAY(),JU5&lt;&gt;"Sa",JU5&lt;&gt;"So"),COUNTIF(Tabelle1[Spalte277],"A"),IF(AND(JU5&lt;&gt;"Sa",JU5&lt;&gt;"So"),COUNTIF(Tabelle1[Spalte277],"")-1,"")))</totalsRowFormula>
    </tableColumn>
    <tableColumn id="280" xr3:uid="{00000000-0010-0000-0000-000018010000}" name="Spalte278" totalsRowFunction="custom" dataDxfId="2021" totalsRowDxfId="92">
      <totalsRowFormula>IF(IF(AND(JV4&lt;=TODAY(),JV5&lt;&gt;"Sa",JV5&lt;&gt;"So"),COUNTIF(Tabelle1[Spalte278],"A"),IF(AND(JV5&lt;&gt;"Sa",JV5&lt;&gt;"So"),COUNTIF(Tabelle1[Spalte278],"")-1,""))&lt;0,0,IF(AND(JV4&lt;=TODAY(),JV5&lt;&gt;"Sa",JV5&lt;&gt;"So"),COUNTIF(Tabelle1[Spalte278],"A"),IF(AND(JV5&lt;&gt;"Sa",JV5&lt;&gt;"So"),COUNTIF(Tabelle1[Spalte278],"")-1,"")))</totalsRowFormula>
    </tableColumn>
    <tableColumn id="281" xr3:uid="{00000000-0010-0000-0000-000019010000}" name="Spalte279" totalsRowFunction="custom" dataDxfId="2020" totalsRowDxfId="91">
      <totalsRowFormula>IF(IF(AND(JW4&lt;=TODAY(),JW5&lt;&gt;"Sa",JW5&lt;&gt;"So"),COUNTIF(Tabelle1[Spalte279],"A"),IF(AND(JW5&lt;&gt;"Sa",JW5&lt;&gt;"So"),COUNTIF(Tabelle1[Spalte279],"")-1,""))&lt;0,0,IF(AND(JW4&lt;=TODAY(),JW5&lt;&gt;"Sa",JW5&lt;&gt;"So"),COUNTIF(Tabelle1[Spalte279],"A"),IF(AND(JW5&lt;&gt;"Sa",JW5&lt;&gt;"So"),COUNTIF(Tabelle1[Spalte279],"")-1,"")))</totalsRowFormula>
    </tableColumn>
    <tableColumn id="282" xr3:uid="{00000000-0010-0000-0000-00001A010000}" name="Spalte280" totalsRowFunction="custom" dataDxfId="2019" totalsRowDxfId="90">
      <totalsRowFormula>IF(IF(AND(JX4&lt;=TODAY(),JX5&lt;&gt;"Sa",JX5&lt;&gt;"So"),COUNTIF(Tabelle1[Spalte280],"A"),IF(AND(JX5&lt;&gt;"Sa",JX5&lt;&gt;"So"),COUNTIF(Tabelle1[Spalte280],"")-1,""))&lt;0,0,IF(AND(JX4&lt;=TODAY(),JX5&lt;&gt;"Sa",JX5&lt;&gt;"So"),COUNTIF(Tabelle1[Spalte280],"A"),IF(AND(JX5&lt;&gt;"Sa",JX5&lt;&gt;"So"),COUNTIF(Tabelle1[Spalte280],"")-1,"")))</totalsRowFormula>
    </tableColumn>
    <tableColumn id="283" xr3:uid="{00000000-0010-0000-0000-00001B010000}" name="Spalte281" totalsRowFunction="custom" dataDxfId="2018" totalsRowDxfId="89">
      <totalsRowFormula>IF(IF(AND(JY4&lt;=TODAY(),JY5&lt;&gt;"Sa",JY5&lt;&gt;"So"),COUNTIF(Tabelle1[Spalte281],"A"),IF(AND(JY5&lt;&gt;"Sa",JY5&lt;&gt;"So"),COUNTIF(Tabelle1[Spalte281],"")-1,""))&lt;0,0,IF(AND(JY4&lt;=TODAY(),JY5&lt;&gt;"Sa",JY5&lt;&gt;"So"),COUNTIF(Tabelle1[Spalte281],"A"),IF(AND(JY5&lt;&gt;"Sa",JY5&lt;&gt;"So"),COUNTIF(Tabelle1[Spalte281],"")-1,"")))</totalsRowFormula>
    </tableColumn>
    <tableColumn id="284" xr3:uid="{00000000-0010-0000-0000-00001C010000}" name="Spalte282" totalsRowFunction="custom" dataDxfId="2017" totalsRowDxfId="88">
      <totalsRowFormula>IF(IF(AND(JZ4&lt;=TODAY(),JZ5&lt;&gt;"Sa",JZ5&lt;&gt;"So"),COUNTIF(Tabelle1[Spalte282],"A"),IF(AND(JZ5&lt;&gt;"Sa",JZ5&lt;&gt;"So"),COUNTIF(Tabelle1[Spalte282],"")-1,""))&lt;0,0,IF(AND(JZ4&lt;=TODAY(),JZ5&lt;&gt;"Sa",JZ5&lt;&gt;"So"),COUNTIF(Tabelle1[Spalte282],"A"),IF(AND(JZ5&lt;&gt;"Sa",JZ5&lt;&gt;"So"),COUNTIF(Tabelle1[Spalte282],"")-1,"")))</totalsRowFormula>
    </tableColumn>
    <tableColumn id="285" xr3:uid="{00000000-0010-0000-0000-00001D010000}" name="Spalte283" totalsRowFunction="custom" dataDxfId="2016" totalsRowDxfId="87">
      <totalsRowFormula>IF(IF(AND(KA4&lt;=TODAY(),KA5&lt;&gt;"Sa",KA5&lt;&gt;"So"),COUNTIF(Tabelle1[Spalte283],"A"),IF(AND(KA5&lt;&gt;"Sa",KA5&lt;&gt;"So"),COUNTIF(Tabelle1[Spalte283],"")-1,""))&lt;0,0,IF(AND(KA4&lt;=TODAY(),KA5&lt;&gt;"Sa",KA5&lt;&gt;"So"),COUNTIF(Tabelle1[Spalte283],"A"),IF(AND(KA5&lt;&gt;"Sa",KA5&lt;&gt;"So"),COUNTIF(Tabelle1[Spalte283],"")-1,"")))</totalsRowFormula>
    </tableColumn>
    <tableColumn id="286" xr3:uid="{00000000-0010-0000-0000-00001E010000}" name="Spalte284" totalsRowFunction="custom" dataDxfId="2015" totalsRowDxfId="86">
      <totalsRowFormula>IF(IF(AND(KB4&lt;=TODAY(),KB5&lt;&gt;"Sa",KB5&lt;&gt;"So"),COUNTIF(Tabelle1[Spalte284],"A"),IF(AND(KB5&lt;&gt;"Sa",KB5&lt;&gt;"So"),COUNTIF(Tabelle1[Spalte284],"")-1,""))&lt;0,0,IF(AND(KB4&lt;=TODAY(),KB5&lt;&gt;"Sa",KB5&lt;&gt;"So"),COUNTIF(Tabelle1[Spalte284],"A"),IF(AND(KB5&lt;&gt;"Sa",KB5&lt;&gt;"So"),COUNTIF(Tabelle1[Spalte284],"")-1,"")))</totalsRowFormula>
    </tableColumn>
    <tableColumn id="287" xr3:uid="{00000000-0010-0000-0000-00001F010000}" name="Spalte285" totalsRowFunction="custom" dataDxfId="2014" totalsRowDxfId="85">
      <totalsRowFormula>IF(IF(AND(KC4&lt;=TODAY(),KC5&lt;&gt;"Sa",KC5&lt;&gt;"So"),COUNTIF(Tabelle1[Spalte285],"A"),IF(AND(KC5&lt;&gt;"Sa",KC5&lt;&gt;"So"),COUNTIF(Tabelle1[Spalte285],"")-1,""))&lt;0,0,IF(AND(KC4&lt;=TODAY(),KC5&lt;&gt;"Sa",KC5&lt;&gt;"So"),COUNTIF(Tabelle1[Spalte285],"A"),IF(AND(KC5&lt;&gt;"Sa",KC5&lt;&gt;"So"),COUNTIF(Tabelle1[Spalte285],"")-1,"")))</totalsRowFormula>
    </tableColumn>
    <tableColumn id="288" xr3:uid="{00000000-0010-0000-0000-000020010000}" name="Spalte286" totalsRowFunction="custom" dataDxfId="2013" totalsRowDxfId="84">
      <totalsRowFormula>IF(IF(AND(KD4&lt;=TODAY(),KD5&lt;&gt;"Sa",KD5&lt;&gt;"So"),COUNTIF(Tabelle1[Spalte286],"A"),IF(AND(KD5&lt;&gt;"Sa",KD5&lt;&gt;"So"),COUNTIF(Tabelle1[Spalte286],"")-1,""))&lt;0,0,IF(AND(KD4&lt;=TODAY(),KD5&lt;&gt;"Sa",KD5&lt;&gt;"So"),COUNTIF(Tabelle1[Spalte286],"A"),IF(AND(KD5&lt;&gt;"Sa",KD5&lt;&gt;"So"),COUNTIF(Tabelle1[Spalte286],"")-1,"")))</totalsRowFormula>
    </tableColumn>
    <tableColumn id="289" xr3:uid="{00000000-0010-0000-0000-000021010000}" name="Spalte287" totalsRowFunction="custom" dataDxfId="2012" totalsRowDxfId="83">
      <totalsRowFormula>IF(IF(AND(KE4&lt;=TODAY(),KE5&lt;&gt;"Sa",KE5&lt;&gt;"So"),COUNTIF(Tabelle1[Spalte287],"A"),IF(AND(KE5&lt;&gt;"Sa",KE5&lt;&gt;"So"),COUNTIF(Tabelle1[Spalte287],"")-1,""))&lt;0,0,IF(AND(KE4&lt;=TODAY(),KE5&lt;&gt;"Sa",KE5&lt;&gt;"So"),COUNTIF(Tabelle1[Spalte287],"A"),IF(AND(KE5&lt;&gt;"Sa",KE5&lt;&gt;"So"),COUNTIF(Tabelle1[Spalte287],"")-1,"")))</totalsRowFormula>
    </tableColumn>
    <tableColumn id="290" xr3:uid="{00000000-0010-0000-0000-000022010000}" name="Spalte288" totalsRowFunction="custom" dataDxfId="2011" totalsRowDxfId="82">
      <totalsRowFormula>IF(IF(AND(KF4&lt;=TODAY(),KF5&lt;&gt;"Sa",KF5&lt;&gt;"So"),COUNTIF(Tabelle1[Spalte288],"A"),IF(AND(KF5&lt;&gt;"Sa",KF5&lt;&gt;"So"),COUNTIF(Tabelle1[Spalte288],"")-1,""))&lt;0,0,IF(AND(KF4&lt;=TODAY(),KF5&lt;&gt;"Sa",KF5&lt;&gt;"So"),COUNTIF(Tabelle1[Spalte288],"A"),IF(AND(KF5&lt;&gt;"Sa",KF5&lt;&gt;"So"),COUNTIF(Tabelle1[Spalte288],"")-1,"")))</totalsRowFormula>
    </tableColumn>
    <tableColumn id="291" xr3:uid="{00000000-0010-0000-0000-000023010000}" name="Spalte289" totalsRowFunction="custom" dataDxfId="2010" totalsRowDxfId="81">
      <totalsRowFormula>IF(IF(AND(KG4&lt;=TODAY(),KG5&lt;&gt;"Sa",KG5&lt;&gt;"So"),COUNTIF(Tabelle1[Spalte289],"A"),IF(AND(KG5&lt;&gt;"Sa",KG5&lt;&gt;"So"),COUNTIF(Tabelle1[Spalte289],"")-1,""))&lt;0,0,IF(AND(KG4&lt;=TODAY(),KG5&lt;&gt;"Sa",KG5&lt;&gt;"So"),COUNTIF(Tabelle1[Spalte289],"A"),IF(AND(KG5&lt;&gt;"Sa",KG5&lt;&gt;"So"),COUNTIF(Tabelle1[Spalte289],"")-1,"")))</totalsRowFormula>
    </tableColumn>
    <tableColumn id="292" xr3:uid="{00000000-0010-0000-0000-000024010000}" name="Spalte290" totalsRowFunction="custom" dataDxfId="2009" totalsRowDxfId="80">
      <totalsRowFormula>IF(IF(AND(KH4&lt;=TODAY(),KH5&lt;&gt;"Sa",KH5&lt;&gt;"So"),COUNTIF(Tabelle1[Spalte290],"A"),IF(AND(KH5&lt;&gt;"Sa",KH5&lt;&gt;"So"),COUNTIF(Tabelle1[Spalte290],"")-1,""))&lt;0,0,IF(AND(KH4&lt;=TODAY(),KH5&lt;&gt;"Sa",KH5&lt;&gt;"So"),COUNTIF(Tabelle1[Spalte290],"A"),IF(AND(KH5&lt;&gt;"Sa",KH5&lt;&gt;"So"),COUNTIF(Tabelle1[Spalte290],"")-1,"")))</totalsRowFormula>
    </tableColumn>
    <tableColumn id="293" xr3:uid="{00000000-0010-0000-0000-000025010000}" name="Spalte291" totalsRowFunction="custom" dataDxfId="2008" totalsRowDxfId="79">
      <totalsRowFormula>IF(IF(AND(KI4&lt;=TODAY(),KI5&lt;&gt;"Sa",KI5&lt;&gt;"So"),COUNTIF(Tabelle1[Spalte291],"A"),IF(AND(KI5&lt;&gt;"Sa",KI5&lt;&gt;"So"),COUNTIF(Tabelle1[Spalte291],"")-1,""))&lt;0,0,IF(AND(KI4&lt;=TODAY(),KI5&lt;&gt;"Sa",KI5&lt;&gt;"So"),COUNTIF(Tabelle1[Spalte291],"A"),IF(AND(KI5&lt;&gt;"Sa",KI5&lt;&gt;"So"),COUNTIF(Tabelle1[Spalte291],"")-1,"")))</totalsRowFormula>
    </tableColumn>
    <tableColumn id="294" xr3:uid="{00000000-0010-0000-0000-000026010000}" name="Spalte292" totalsRowFunction="custom" dataDxfId="2007" totalsRowDxfId="78">
      <totalsRowFormula>IF(IF(AND(KJ4&lt;=TODAY(),KJ5&lt;&gt;"Sa",KJ5&lt;&gt;"So"),COUNTIF(Tabelle1[Spalte292],"A"),IF(AND(KJ5&lt;&gt;"Sa",KJ5&lt;&gt;"So"),COUNTIF(Tabelle1[Spalte292],"")-1,""))&lt;0,0,IF(AND(KJ4&lt;=TODAY(),KJ5&lt;&gt;"Sa",KJ5&lt;&gt;"So"),COUNTIF(Tabelle1[Spalte292],"A"),IF(AND(KJ5&lt;&gt;"Sa",KJ5&lt;&gt;"So"),COUNTIF(Tabelle1[Spalte292],"")-1,"")))</totalsRowFormula>
    </tableColumn>
    <tableColumn id="295" xr3:uid="{00000000-0010-0000-0000-000027010000}" name="Spalte293" totalsRowFunction="custom" dataDxfId="2006" totalsRowDxfId="77">
      <totalsRowFormula>IF(IF(AND(KK4&lt;=TODAY(),KK5&lt;&gt;"Sa",KK5&lt;&gt;"So"),COUNTIF(Tabelle1[Spalte293],"A"),IF(AND(KK5&lt;&gt;"Sa",KK5&lt;&gt;"So"),COUNTIF(Tabelle1[Spalte293],"")-1,""))&lt;0,0,IF(AND(KK4&lt;=TODAY(),KK5&lt;&gt;"Sa",KK5&lt;&gt;"So"),COUNTIF(Tabelle1[Spalte293],"A"),IF(AND(KK5&lt;&gt;"Sa",KK5&lt;&gt;"So"),COUNTIF(Tabelle1[Spalte293],"")-1,"")))</totalsRowFormula>
    </tableColumn>
    <tableColumn id="296" xr3:uid="{00000000-0010-0000-0000-000028010000}" name="Spalte294" totalsRowFunction="custom" dataDxfId="2005" totalsRowDxfId="76">
      <totalsRowFormula>IF(IF(AND(KL4&lt;=TODAY(),KL5&lt;&gt;"Sa",KL5&lt;&gt;"So"),COUNTIF(Tabelle1[Spalte294],"A"),IF(AND(KL5&lt;&gt;"Sa",KL5&lt;&gt;"So"),COUNTIF(Tabelle1[Spalte294],"")-1,""))&lt;0,0,IF(AND(KL4&lt;=TODAY(),KL5&lt;&gt;"Sa",KL5&lt;&gt;"So"),COUNTIF(Tabelle1[Spalte294],"A"),IF(AND(KL5&lt;&gt;"Sa",KL5&lt;&gt;"So"),COUNTIF(Tabelle1[Spalte294],"")-1,"")))</totalsRowFormula>
    </tableColumn>
    <tableColumn id="297" xr3:uid="{00000000-0010-0000-0000-000029010000}" name="Spalte295" totalsRowFunction="custom" dataDxfId="2004" totalsRowDxfId="75">
      <totalsRowFormula>IF(IF(AND(KM4&lt;=TODAY(),KM5&lt;&gt;"Sa",KM5&lt;&gt;"So"),COUNTIF(Tabelle1[Spalte295],"A"),IF(AND(KM5&lt;&gt;"Sa",KM5&lt;&gt;"So"),COUNTIF(Tabelle1[Spalte295],"")-1,""))&lt;0,0,IF(AND(KM4&lt;=TODAY(),KM5&lt;&gt;"Sa",KM5&lt;&gt;"So"),COUNTIF(Tabelle1[Spalte295],"A"),IF(AND(KM5&lt;&gt;"Sa",KM5&lt;&gt;"So"),COUNTIF(Tabelle1[Spalte295],"")-1,"")))</totalsRowFormula>
    </tableColumn>
    <tableColumn id="298" xr3:uid="{00000000-0010-0000-0000-00002A010000}" name="Spalte296" totalsRowFunction="custom" dataDxfId="2003" totalsRowDxfId="74">
      <totalsRowFormula>IF(IF(AND(KN4&lt;=TODAY(),KN5&lt;&gt;"Sa",KN5&lt;&gt;"So"),COUNTIF(Tabelle1[Spalte296],"A"),IF(AND(KN5&lt;&gt;"Sa",KN5&lt;&gt;"So"),COUNTIF(Tabelle1[Spalte296],"")-1,""))&lt;0,0,IF(AND(KN4&lt;=TODAY(),KN5&lt;&gt;"Sa",KN5&lt;&gt;"So"),COUNTIF(Tabelle1[Spalte296],"A"),IF(AND(KN5&lt;&gt;"Sa",KN5&lt;&gt;"So"),COUNTIF(Tabelle1[Spalte296],"")-1,"")))</totalsRowFormula>
    </tableColumn>
    <tableColumn id="299" xr3:uid="{00000000-0010-0000-0000-00002B010000}" name="Spalte297" totalsRowFunction="custom" dataDxfId="2002" totalsRowDxfId="73">
      <totalsRowFormula>IF(IF(AND(KO4&lt;=TODAY(),KO5&lt;&gt;"Sa",KO5&lt;&gt;"So"),COUNTIF(Tabelle1[Spalte297],"A"),IF(AND(KO5&lt;&gt;"Sa",KO5&lt;&gt;"So"),COUNTIF(Tabelle1[Spalte297],"")-1,""))&lt;0,0,IF(AND(KO4&lt;=TODAY(),KO5&lt;&gt;"Sa",KO5&lt;&gt;"So"),COUNTIF(Tabelle1[Spalte297],"A"),IF(AND(KO5&lt;&gt;"Sa",KO5&lt;&gt;"So"),COUNTIF(Tabelle1[Spalte297],"")-1,"")))</totalsRowFormula>
    </tableColumn>
    <tableColumn id="300" xr3:uid="{00000000-0010-0000-0000-00002C010000}" name="Spalte298" totalsRowFunction="custom" dataDxfId="2001" totalsRowDxfId="72">
      <totalsRowFormula>IF(IF(AND(KP4&lt;=TODAY(),KP5&lt;&gt;"Sa",KP5&lt;&gt;"So"),COUNTIF(Tabelle1[Spalte298],"A"),IF(AND(KP5&lt;&gt;"Sa",KP5&lt;&gt;"So"),COUNTIF(Tabelle1[Spalte298],"")-1,""))&lt;0,0,IF(AND(KP4&lt;=TODAY(),KP5&lt;&gt;"Sa",KP5&lt;&gt;"So"),COUNTIF(Tabelle1[Spalte298],"A"),IF(AND(KP5&lt;&gt;"Sa",KP5&lt;&gt;"So"),COUNTIF(Tabelle1[Spalte298],"")-1,"")))</totalsRowFormula>
    </tableColumn>
    <tableColumn id="301" xr3:uid="{00000000-0010-0000-0000-00002D010000}" name="Spalte299" totalsRowFunction="custom" dataDxfId="2000" totalsRowDxfId="71">
      <totalsRowFormula>IF(IF(AND(KQ4&lt;=TODAY(),KQ5&lt;&gt;"Sa",KQ5&lt;&gt;"So"),COUNTIF(Tabelle1[Spalte299],"A"),IF(AND(KQ5&lt;&gt;"Sa",KQ5&lt;&gt;"So"),COUNTIF(Tabelle1[Spalte299],"")-1,""))&lt;0,0,IF(AND(KQ4&lt;=TODAY(),KQ5&lt;&gt;"Sa",KQ5&lt;&gt;"So"),COUNTIF(Tabelle1[Spalte299],"A"),IF(AND(KQ5&lt;&gt;"Sa",KQ5&lt;&gt;"So"),COUNTIF(Tabelle1[Spalte299],"")-1,"")))</totalsRowFormula>
    </tableColumn>
    <tableColumn id="302" xr3:uid="{00000000-0010-0000-0000-00002E010000}" name="Spalte300" totalsRowFunction="custom" dataDxfId="1999" totalsRowDxfId="70">
      <totalsRowFormula>IF(IF(AND(KR4&lt;=TODAY(),KR5&lt;&gt;"Sa",KR5&lt;&gt;"So"),COUNTIF(Tabelle1[Spalte300],"A"),IF(AND(KR5&lt;&gt;"Sa",KR5&lt;&gt;"So"),COUNTIF(Tabelle1[Spalte300],"")-1,""))&lt;0,0,IF(AND(KR4&lt;=TODAY(),KR5&lt;&gt;"Sa",KR5&lt;&gt;"So"),COUNTIF(Tabelle1[Spalte300],"A"),IF(AND(KR5&lt;&gt;"Sa",KR5&lt;&gt;"So"),COUNTIF(Tabelle1[Spalte300],"")-1,"")))</totalsRowFormula>
    </tableColumn>
    <tableColumn id="303" xr3:uid="{00000000-0010-0000-0000-00002F010000}" name="Spalte301" totalsRowFunction="custom" dataDxfId="1998" totalsRowDxfId="69">
      <totalsRowFormula>IF(IF(AND(KS4&lt;=TODAY(),KS5&lt;&gt;"Sa",KS5&lt;&gt;"So"),COUNTIF(Tabelle1[Spalte301],"A"),IF(AND(KS5&lt;&gt;"Sa",KS5&lt;&gt;"So"),COUNTIF(Tabelle1[Spalte301],"")-1,""))&lt;0,0,IF(AND(KS4&lt;=TODAY(),KS5&lt;&gt;"Sa",KS5&lt;&gt;"So"),COUNTIF(Tabelle1[Spalte301],"A"),IF(AND(KS5&lt;&gt;"Sa",KS5&lt;&gt;"So"),COUNTIF(Tabelle1[Spalte301],"")-1,"")))</totalsRowFormula>
    </tableColumn>
    <tableColumn id="304" xr3:uid="{00000000-0010-0000-0000-000030010000}" name="Spalte302" totalsRowFunction="custom" dataDxfId="1997" totalsRowDxfId="68">
      <totalsRowFormula>IF(IF(AND(KT4&lt;=TODAY(),KT5&lt;&gt;"Sa",KT5&lt;&gt;"So"),COUNTIF(Tabelle1[Spalte302],"A"),IF(AND(KT5&lt;&gt;"Sa",KT5&lt;&gt;"So"),COUNTIF(Tabelle1[Spalte302],"")-1,""))&lt;0,0,IF(AND(KT4&lt;=TODAY(),KT5&lt;&gt;"Sa",KT5&lt;&gt;"So"),COUNTIF(Tabelle1[Spalte302],"A"),IF(AND(KT5&lt;&gt;"Sa",KT5&lt;&gt;"So"),COUNTIF(Tabelle1[Spalte302],"")-1,"")))</totalsRowFormula>
    </tableColumn>
    <tableColumn id="305" xr3:uid="{00000000-0010-0000-0000-000031010000}" name="Spalte303" totalsRowFunction="custom" dataDxfId="1996" totalsRowDxfId="67">
      <totalsRowFormula>IF(IF(AND(KU4&lt;=TODAY(),KU5&lt;&gt;"Sa",KU5&lt;&gt;"So"),COUNTIF(Tabelle1[Spalte303],"A"),IF(AND(KU5&lt;&gt;"Sa",KU5&lt;&gt;"So"),COUNTIF(Tabelle1[Spalte303],"")-1,""))&lt;0,0,IF(AND(KU4&lt;=TODAY(),KU5&lt;&gt;"Sa",KU5&lt;&gt;"So"),COUNTIF(Tabelle1[Spalte303],"A"),IF(AND(KU5&lt;&gt;"Sa",KU5&lt;&gt;"So"),COUNTIF(Tabelle1[Spalte303],"")-1,"")))</totalsRowFormula>
    </tableColumn>
    <tableColumn id="306" xr3:uid="{00000000-0010-0000-0000-000032010000}" name="Spalte304" totalsRowFunction="custom" dataDxfId="1995" totalsRowDxfId="66">
      <totalsRowFormula>IF(IF(AND(KV4&lt;=TODAY(),KV5&lt;&gt;"Sa",KV5&lt;&gt;"So"),COUNTIF(Tabelle1[Spalte304],"A"),IF(AND(KV5&lt;&gt;"Sa",KV5&lt;&gt;"So"),COUNTIF(Tabelle1[Spalte304],"")-1,""))&lt;0,0,IF(AND(KV4&lt;=TODAY(),KV5&lt;&gt;"Sa",KV5&lt;&gt;"So"),COUNTIF(Tabelle1[Spalte304],"A"),IF(AND(KV5&lt;&gt;"Sa",KV5&lt;&gt;"So"),COUNTIF(Tabelle1[Spalte304],"")-1,"")))</totalsRowFormula>
    </tableColumn>
    <tableColumn id="307" xr3:uid="{00000000-0010-0000-0000-000033010000}" name="Spalte305" totalsRowFunction="custom" dataDxfId="1994" totalsRowDxfId="65">
      <totalsRowFormula>IF(IF(AND(KW4&lt;=TODAY(),KW5&lt;&gt;"Sa",KW5&lt;&gt;"So"),COUNTIF(Tabelle1[Spalte305],"A"),IF(AND(KW5&lt;&gt;"Sa",KW5&lt;&gt;"So"),COUNTIF(Tabelle1[Spalte305],"")-1,""))&lt;0,0,IF(AND(KW4&lt;=TODAY(),KW5&lt;&gt;"Sa",KW5&lt;&gt;"So"),COUNTIF(Tabelle1[Spalte305],"A"),IF(AND(KW5&lt;&gt;"Sa",KW5&lt;&gt;"So"),COUNTIF(Tabelle1[Spalte305],"")-1,"")))</totalsRowFormula>
    </tableColumn>
    <tableColumn id="308" xr3:uid="{00000000-0010-0000-0000-000034010000}" name="Spalte306" totalsRowFunction="custom" dataDxfId="1993" totalsRowDxfId="64">
      <totalsRowFormula>IF(IF(AND(KX4&lt;=TODAY(),KX5&lt;&gt;"Sa",KX5&lt;&gt;"So"),COUNTIF(Tabelle1[Spalte306],"A"),IF(AND(KX5&lt;&gt;"Sa",KX5&lt;&gt;"So"),COUNTIF(Tabelle1[Spalte306],"")-1,""))&lt;0,0,IF(AND(KX4&lt;=TODAY(),KX5&lt;&gt;"Sa",KX5&lt;&gt;"So"),COUNTIF(Tabelle1[Spalte306],"A"),IF(AND(KX5&lt;&gt;"Sa",KX5&lt;&gt;"So"),COUNTIF(Tabelle1[Spalte306],"")-1,"")))</totalsRowFormula>
    </tableColumn>
    <tableColumn id="309" xr3:uid="{00000000-0010-0000-0000-000035010000}" name="Spalte307" totalsRowFunction="custom" dataDxfId="1992" totalsRowDxfId="63">
      <totalsRowFormula>IF(IF(AND(KY4&lt;=TODAY(),KY5&lt;&gt;"Sa",KY5&lt;&gt;"So"),COUNTIF(Tabelle1[Spalte307],"A"),IF(AND(KY5&lt;&gt;"Sa",KY5&lt;&gt;"So"),COUNTIF(Tabelle1[Spalte307],"")-1,""))&lt;0,0,IF(AND(KY4&lt;=TODAY(),KY5&lt;&gt;"Sa",KY5&lt;&gt;"So"),COUNTIF(Tabelle1[Spalte307],"A"),IF(AND(KY5&lt;&gt;"Sa",KY5&lt;&gt;"So"),COUNTIF(Tabelle1[Spalte307],"")-1,"")))</totalsRowFormula>
    </tableColumn>
    <tableColumn id="310" xr3:uid="{00000000-0010-0000-0000-000036010000}" name="Spalte308" totalsRowFunction="custom" dataDxfId="1991" totalsRowDxfId="62">
      <totalsRowFormula>IF(IF(AND(KZ4&lt;=TODAY(),KZ5&lt;&gt;"Sa",KZ5&lt;&gt;"So"),COUNTIF(Tabelle1[Spalte308],"A"),IF(AND(KZ5&lt;&gt;"Sa",KZ5&lt;&gt;"So"),COUNTIF(Tabelle1[Spalte308],"")-1,""))&lt;0,0,IF(AND(KZ4&lt;=TODAY(),KZ5&lt;&gt;"Sa",KZ5&lt;&gt;"So"),COUNTIF(Tabelle1[Spalte308],"A"),IF(AND(KZ5&lt;&gt;"Sa",KZ5&lt;&gt;"So"),COUNTIF(Tabelle1[Spalte308],"")-1,"")))</totalsRowFormula>
    </tableColumn>
    <tableColumn id="311" xr3:uid="{00000000-0010-0000-0000-000037010000}" name="Spalte309" totalsRowFunction="custom" dataDxfId="1990" totalsRowDxfId="61">
      <totalsRowFormula>IF(IF(AND(LA4&lt;=TODAY(),LA5&lt;&gt;"Sa",LA5&lt;&gt;"So"),COUNTIF(Tabelle1[Spalte309],"A"),IF(AND(LA5&lt;&gt;"Sa",LA5&lt;&gt;"So"),COUNTIF(Tabelle1[Spalte309],"")-1,""))&lt;0,0,IF(AND(LA4&lt;=TODAY(),LA5&lt;&gt;"Sa",LA5&lt;&gt;"So"),COUNTIF(Tabelle1[Spalte309],"A"),IF(AND(LA5&lt;&gt;"Sa",LA5&lt;&gt;"So"),COUNTIF(Tabelle1[Spalte309],"")-1,"")))</totalsRowFormula>
    </tableColumn>
    <tableColumn id="312" xr3:uid="{00000000-0010-0000-0000-000038010000}" name="Spalte310" totalsRowFunction="custom" dataDxfId="1989" totalsRowDxfId="60">
      <totalsRowFormula>IF(IF(AND(LB4&lt;=TODAY(),LB5&lt;&gt;"Sa",LB5&lt;&gt;"So"),COUNTIF(Tabelle1[Spalte310],"A"),IF(AND(LB5&lt;&gt;"Sa",LB5&lt;&gt;"So"),COUNTIF(Tabelle1[Spalte310],"")-1,""))&lt;0,0,IF(AND(LB4&lt;=TODAY(),LB5&lt;&gt;"Sa",LB5&lt;&gt;"So"),COUNTIF(Tabelle1[Spalte310],"A"),IF(AND(LB5&lt;&gt;"Sa",LB5&lt;&gt;"So"),COUNTIF(Tabelle1[Spalte310],"")-1,"")))</totalsRowFormula>
    </tableColumn>
    <tableColumn id="313" xr3:uid="{00000000-0010-0000-0000-000039010000}" name="Spalte311" totalsRowFunction="custom" dataDxfId="1988" totalsRowDxfId="59">
      <totalsRowFormula>IF(IF(AND(LC4&lt;=TODAY(),LC5&lt;&gt;"Sa",LC5&lt;&gt;"So"),COUNTIF(Tabelle1[Spalte311],"A"),IF(AND(LC5&lt;&gt;"Sa",LC5&lt;&gt;"So"),COUNTIF(Tabelle1[Spalte311],"")-1,""))&lt;0,0,IF(AND(LC4&lt;=TODAY(),LC5&lt;&gt;"Sa",LC5&lt;&gt;"So"),COUNTIF(Tabelle1[Spalte311],"A"),IF(AND(LC5&lt;&gt;"Sa",LC5&lt;&gt;"So"),COUNTIF(Tabelle1[Spalte311],"")-1,"")))</totalsRowFormula>
    </tableColumn>
    <tableColumn id="314" xr3:uid="{00000000-0010-0000-0000-00003A010000}" name="Spalte312" totalsRowFunction="custom" dataDxfId="1987" totalsRowDxfId="58">
      <totalsRowFormula>IF(IF(AND(LD4&lt;=TODAY(),LD5&lt;&gt;"Sa",LD5&lt;&gt;"So"),COUNTIF(Tabelle1[Spalte312],"A"),IF(AND(LD5&lt;&gt;"Sa",LD5&lt;&gt;"So"),COUNTIF(Tabelle1[Spalte312],"")-1,""))&lt;0,0,IF(AND(LD4&lt;=TODAY(),LD5&lt;&gt;"Sa",LD5&lt;&gt;"So"),COUNTIF(Tabelle1[Spalte312],"A"),IF(AND(LD5&lt;&gt;"Sa",LD5&lt;&gt;"So"),COUNTIF(Tabelle1[Spalte312],"")-1,"")))</totalsRowFormula>
    </tableColumn>
    <tableColumn id="315" xr3:uid="{00000000-0010-0000-0000-00003B010000}" name="Spalte313" totalsRowFunction="custom" dataDxfId="1986" totalsRowDxfId="57">
      <totalsRowFormula>IF(IF(AND(LE4&lt;=TODAY(),LE5&lt;&gt;"Sa",LE5&lt;&gt;"So"),COUNTIF(Tabelle1[Spalte313],"A"),IF(AND(LE5&lt;&gt;"Sa",LE5&lt;&gt;"So"),COUNTIF(Tabelle1[Spalte313],"")-1,""))&lt;0,0,IF(AND(LE4&lt;=TODAY(),LE5&lt;&gt;"Sa",LE5&lt;&gt;"So"),COUNTIF(Tabelle1[Spalte313],"A"),IF(AND(LE5&lt;&gt;"Sa",LE5&lt;&gt;"So"),COUNTIF(Tabelle1[Spalte313],"")-1,"")))</totalsRowFormula>
    </tableColumn>
    <tableColumn id="316" xr3:uid="{00000000-0010-0000-0000-00003C010000}" name="Spalte314" totalsRowFunction="custom" dataDxfId="1985" totalsRowDxfId="56">
      <totalsRowFormula>IF(IF(AND(LF4&lt;=TODAY(),LF5&lt;&gt;"Sa",LF5&lt;&gt;"So"),COUNTIF(Tabelle1[Spalte314],"A"),IF(AND(LF5&lt;&gt;"Sa",LF5&lt;&gt;"So"),COUNTIF(Tabelle1[Spalte314],"")-1,""))&lt;0,0,IF(AND(LF4&lt;=TODAY(),LF5&lt;&gt;"Sa",LF5&lt;&gt;"So"),COUNTIF(Tabelle1[Spalte314],"A"),IF(AND(LF5&lt;&gt;"Sa",LF5&lt;&gt;"So"),COUNTIF(Tabelle1[Spalte314],"")-1,"")))</totalsRowFormula>
    </tableColumn>
    <tableColumn id="317" xr3:uid="{00000000-0010-0000-0000-00003D010000}" name="Spalte315" totalsRowFunction="custom" dataDxfId="1984" totalsRowDxfId="55">
      <totalsRowFormula>IF(IF(AND(LG4&lt;=TODAY(),LG5&lt;&gt;"Sa",LG5&lt;&gt;"So"),COUNTIF(Tabelle1[Spalte315],"A"),IF(AND(LG5&lt;&gt;"Sa",LG5&lt;&gt;"So"),COUNTIF(Tabelle1[Spalte315],"")-1,""))&lt;0,0,IF(AND(LG4&lt;=TODAY(),LG5&lt;&gt;"Sa",LG5&lt;&gt;"So"),COUNTIF(Tabelle1[Spalte315],"A"),IF(AND(LG5&lt;&gt;"Sa",LG5&lt;&gt;"So"),COUNTIF(Tabelle1[Spalte315],"")-1,"")))</totalsRowFormula>
    </tableColumn>
    <tableColumn id="318" xr3:uid="{00000000-0010-0000-0000-00003E010000}" name="Spalte316" totalsRowFunction="custom" dataDxfId="1983" totalsRowDxfId="54">
      <totalsRowFormula>IF(IF(AND(LH4&lt;=TODAY(),LH5&lt;&gt;"Sa",LH5&lt;&gt;"So"),COUNTIF(Tabelle1[Spalte316],"A"),IF(AND(LH5&lt;&gt;"Sa",LH5&lt;&gt;"So"),COUNTIF(Tabelle1[Spalte316],"")-1,""))&lt;0,0,IF(AND(LH4&lt;=TODAY(),LH5&lt;&gt;"Sa",LH5&lt;&gt;"So"),COUNTIF(Tabelle1[Spalte316],"A"),IF(AND(LH5&lt;&gt;"Sa",LH5&lt;&gt;"So"),COUNTIF(Tabelle1[Spalte316],"")-1,"")))</totalsRowFormula>
    </tableColumn>
    <tableColumn id="319" xr3:uid="{00000000-0010-0000-0000-00003F010000}" name="Spalte317" totalsRowFunction="custom" dataDxfId="1982" totalsRowDxfId="53">
      <totalsRowFormula>IF(IF(AND(LI4&lt;=TODAY(),LI5&lt;&gt;"Sa",LI5&lt;&gt;"So"),COUNTIF(Tabelle1[Spalte317],"A"),IF(AND(LI5&lt;&gt;"Sa",LI5&lt;&gt;"So"),COUNTIF(Tabelle1[Spalte317],"")-1,""))&lt;0,0,IF(AND(LI4&lt;=TODAY(),LI5&lt;&gt;"Sa",LI5&lt;&gt;"So"),COUNTIF(Tabelle1[Spalte317],"A"),IF(AND(LI5&lt;&gt;"Sa",LI5&lt;&gt;"So"),COUNTIF(Tabelle1[Spalte317],"")-1,"")))</totalsRowFormula>
    </tableColumn>
    <tableColumn id="320" xr3:uid="{00000000-0010-0000-0000-000040010000}" name="Spalte318" totalsRowFunction="custom" dataDxfId="1981" totalsRowDxfId="52">
      <totalsRowFormula>IF(IF(AND(LJ4&lt;=TODAY(),LJ5&lt;&gt;"Sa",LJ5&lt;&gt;"So"),COUNTIF(Tabelle1[Spalte318],"A"),IF(AND(LJ5&lt;&gt;"Sa",LJ5&lt;&gt;"So"),COUNTIF(Tabelle1[Spalte318],"")-1,""))&lt;0,0,IF(AND(LJ4&lt;=TODAY(),LJ5&lt;&gt;"Sa",LJ5&lt;&gt;"So"),COUNTIF(Tabelle1[Spalte318],"A"),IF(AND(LJ5&lt;&gt;"Sa",LJ5&lt;&gt;"So"),COUNTIF(Tabelle1[Spalte318],"")-1,"")))</totalsRowFormula>
    </tableColumn>
    <tableColumn id="321" xr3:uid="{00000000-0010-0000-0000-000041010000}" name="Spalte319" totalsRowFunction="custom" dataDxfId="1980" totalsRowDxfId="51">
      <totalsRowFormula>IF(IF(AND(LK4&lt;=TODAY(),LK5&lt;&gt;"Sa",LK5&lt;&gt;"So"),COUNTIF(Tabelle1[Spalte319],"A"),IF(AND(LK5&lt;&gt;"Sa",LK5&lt;&gt;"So"),COUNTIF(Tabelle1[Spalte319],"")-1,""))&lt;0,0,IF(AND(LK4&lt;=TODAY(),LK5&lt;&gt;"Sa",LK5&lt;&gt;"So"),COUNTIF(Tabelle1[Spalte319],"A"),IF(AND(LK5&lt;&gt;"Sa",LK5&lt;&gt;"So"),COUNTIF(Tabelle1[Spalte319],"")-1,"")))</totalsRowFormula>
    </tableColumn>
    <tableColumn id="322" xr3:uid="{00000000-0010-0000-0000-000042010000}" name="Spalte320" totalsRowFunction="custom" dataDxfId="1979" totalsRowDxfId="50">
      <totalsRowFormula>IF(IF(AND(LL4&lt;=TODAY(),LL5&lt;&gt;"Sa",LL5&lt;&gt;"So"),COUNTIF(Tabelle1[Spalte320],"A"),IF(AND(LL5&lt;&gt;"Sa",LL5&lt;&gt;"So"),COUNTIF(Tabelle1[Spalte320],"")-1,""))&lt;0,0,IF(AND(LL4&lt;=TODAY(),LL5&lt;&gt;"Sa",LL5&lt;&gt;"So"),COUNTIF(Tabelle1[Spalte320],"A"),IF(AND(LL5&lt;&gt;"Sa",LL5&lt;&gt;"So"),COUNTIF(Tabelle1[Spalte320],"")-1,"")))</totalsRowFormula>
    </tableColumn>
    <tableColumn id="323" xr3:uid="{00000000-0010-0000-0000-000043010000}" name="Spalte321" totalsRowFunction="custom" dataDxfId="1978" totalsRowDxfId="49">
      <totalsRowFormula>IF(IF(AND(LM4&lt;=TODAY(),LM5&lt;&gt;"Sa",LM5&lt;&gt;"So"),COUNTIF(Tabelle1[Spalte321],"A"),IF(AND(LM5&lt;&gt;"Sa",LM5&lt;&gt;"So"),COUNTIF(Tabelle1[Spalte321],"")-1,""))&lt;0,0,IF(AND(LM4&lt;=TODAY(),LM5&lt;&gt;"Sa",LM5&lt;&gt;"So"),COUNTIF(Tabelle1[Spalte321],"A"),IF(AND(LM5&lt;&gt;"Sa",LM5&lt;&gt;"So"),COUNTIF(Tabelle1[Spalte321],"")-1,"")))</totalsRowFormula>
    </tableColumn>
    <tableColumn id="324" xr3:uid="{00000000-0010-0000-0000-000044010000}" name="Spalte322" totalsRowFunction="custom" dataDxfId="1977" totalsRowDxfId="48">
      <totalsRowFormula>IF(IF(AND(LN4&lt;=TODAY(),LN5&lt;&gt;"Sa",LN5&lt;&gt;"So"),COUNTIF(Tabelle1[Spalte322],"A"),IF(AND(LN5&lt;&gt;"Sa",LN5&lt;&gt;"So"),COUNTIF(Tabelle1[Spalte322],"")-1,""))&lt;0,0,IF(AND(LN4&lt;=TODAY(),LN5&lt;&gt;"Sa",LN5&lt;&gt;"So"),COUNTIF(Tabelle1[Spalte322],"A"),IF(AND(LN5&lt;&gt;"Sa",LN5&lt;&gt;"So"),COUNTIF(Tabelle1[Spalte322],"")-1,"")))</totalsRowFormula>
    </tableColumn>
    <tableColumn id="325" xr3:uid="{00000000-0010-0000-0000-000045010000}" name="Spalte323" totalsRowFunction="custom" dataDxfId="1976" totalsRowDxfId="47">
      <totalsRowFormula>IF(IF(AND(LO4&lt;=TODAY(),LO5&lt;&gt;"Sa",LO5&lt;&gt;"So"),COUNTIF(Tabelle1[Spalte323],"A"),IF(AND(LO5&lt;&gt;"Sa",LO5&lt;&gt;"So"),COUNTIF(Tabelle1[Spalte323],"")-1,""))&lt;0,0,IF(AND(LO4&lt;=TODAY(),LO5&lt;&gt;"Sa",LO5&lt;&gt;"So"),COUNTIF(Tabelle1[Spalte323],"A"),IF(AND(LO5&lt;&gt;"Sa",LO5&lt;&gt;"So"),COUNTIF(Tabelle1[Spalte323],"")-1,"")))</totalsRowFormula>
    </tableColumn>
    <tableColumn id="326" xr3:uid="{00000000-0010-0000-0000-000046010000}" name="Spalte324" totalsRowFunction="custom" dataDxfId="1975" totalsRowDxfId="46">
      <totalsRowFormula>IF(IF(AND(LP4&lt;=TODAY(),LP5&lt;&gt;"Sa",LP5&lt;&gt;"So"),COUNTIF(Tabelle1[Spalte324],"A"),IF(AND(LP5&lt;&gt;"Sa",LP5&lt;&gt;"So"),COUNTIF(Tabelle1[Spalte324],"")-1,""))&lt;0,0,IF(AND(LP4&lt;=TODAY(),LP5&lt;&gt;"Sa",LP5&lt;&gt;"So"),COUNTIF(Tabelle1[Spalte324],"A"),IF(AND(LP5&lt;&gt;"Sa",LP5&lt;&gt;"So"),COUNTIF(Tabelle1[Spalte324],"")-1,"")))</totalsRowFormula>
    </tableColumn>
    <tableColumn id="327" xr3:uid="{00000000-0010-0000-0000-000047010000}" name="Spalte325" totalsRowFunction="custom" dataDxfId="1974" totalsRowDxfId="45">
      <totalsRowFormula>IF(IF(AND(LQ4&lt;=TODAY(),LQ5&lt;&gt;"Sa",LQ5&lt;&gt;"So"),COUNTIF(Tabelle1[Spalte325],"A"),IF(AND(LQ5&lt;&gt;"Sa",LQ5&lt;&gt;"So"),COUNTIF(Tabelle1[Spalte325],"")-1,""))&lt;0,0,IF(AND(LQ4&lt;=TODAY(),LQ5&lt;&gt;"Sa",LQ5&lt;&gt;"So"),COUNTIF(Tabelle1[Spalte325],"A"),IF(AND(LQ5&lt;&gt;"Sa",LQ5&lt;&gt;"So"),COUNTIF(Tabelle1[Spalte325],"")-1,"")))</totalsRowFormula>
    </tableColumn>
    <tableColumn id="328" xr3:uid="{00000000-0010-0000-0000-000048010000}" name="Spalte326" totalsRowFunction="custom" dataDxfId="1973" totalsRowDxfId="44">
      <totalsRowFormula>IF(IF(AND(LR4&lt;=TODAY(),LR5&lt;&gt;"Sa",LR5&lt;&gt;"So"),COUNTIF(Tabelle1[Spalte326],"A"),IF(AND(LR5&lt;&gt;"Sa",LR5&lt;&gt;"So"),COUNTIF(Tabelle1[Spalte326],"")-1,""))&lt;0,0,IF(AND(LR4&lt;=TODAY(),LR5&lt;&gt;"Sa",LR5&lt;&gt;"So"),COUNTIF(Tabelle1[Spalte326],"A"),IF(AND(LR5&lt;&gt;"Sa",LR5&lt;&gt;"So"),COUNTIF(Tabelle1[Spalte326],"")-1,"")))</totalsRowFormula>
    </tableColumn>
    <tableColumn id="329" xr3:uid="{00000000-0010-0000-0000-000049010000}" name="Spalte327" totalsRowFunction="custom" dataDxfId="1972" totalsRowDxfId="43">
      <totalsRowFormula>IF(IF(AND(LS4&lt;=TODAY(),LS5&lt;&gt;"Sa",LS5&lt;&gt;"So"),COUNTIF(Tabelle1[Spalte327],"A"),IF(AND(LS5&lt;&gt;"Sa",LS5&lt;&gt;"So"),COUNTIF(Tabelle1[Spalte327],"")-1,""))&lt;0,0,IF(AND(LS4&lt;=TODAY(),LS5&lt;&gt;"Sa",LS5&lt;&gt;"So"),COUNTIF(Tabelle1[Spalte327],"A"),IF(AND(LS5&lt;&gt;"Sa",LS5&lt;&gt;"So"),COUNTIF(Tabelle1[Spalte327],"")-1,"")))</totalsRowFormula>
    </tableColumn>
    <tableColumn id="330" xr3:uid="{00000000-0010-0000-0000-00004A010000}" name="Spalte328" totalsRowFunction="custom" dataDxfId="1971" totalsRowDxfId="42">
      <totalsRowFormula>IF(IF(AND(LT4&lt;=TODAY(),LT5&lt;&gt;"Sa",LT5&lt;&gt;"So"),COUNTIF(Tabelle1[Spalte328],"A"),IF(AND(LT5&lt;&gt;"Sa",LT5&lt;&gt;"So"),COUNTIF(Tabelle1[Spalte328],"")-1,""))&lt;0,0,IF(AND(LT4&lt;=TODAY(),LT5&lt;&gt;"Sa",LT5&lt;&gt;"So"),COUNTIF(Tabelle1[Spalte328],"A"),IF(AND(LT5&lt;&gt;"Sa",LT5&lt;&gt;"So"),COUNTIF(Tabelle1[Spalte328],"")-1,"")))</totalsRowFormula>
    </tableColumn>
    <tableColumn id="331" xr3:uid="{00000000-0010-0000-0000-00004B010000}" name="Spalte329" totalsRowFunction="custom" dataDxfId="1970" totalsRowDxfId="41">
      <totalsRowFormula>IF(IF(AND(LU4&lt;=TODAY(),LU5&lt;&gt;"Sa",LU5&lt;&gt;"So"),COUNTIF(Tabelle1[Spalte329],"A"),IF(AND(LU5&lt;&gt;"Sa",LU5&lt;&gt;"So"),COUNTIF(Tabelle1[Spalte329],"")-1,""))&lt;0,0,IF(AND(LU4&lt;=TODAY(),LU5&lt;&gt;"Sa",LU5&lt;&gt;"So"),COUNTIF(Tabelle1[Spalte329],"A"),IF(AND(LU5&lt;&gt;"Sa",LU5&lt;&gt;"So"),COUNTIF(Tabelle1[Spalte329],"")-1,"")))</totalsRowFormula>
    </tableColumn>
    <tableColumn id="332" xr3:uid="{00000000-0010-0000-0000-00004C010000}" name="Spalte330" totalsRowFunction="custom" dataDxfId="1969" totalsRowDxfId="40">
      <totalsRowFormula>IF(IF(AND(LV4&lt;=TODAY(),LV5&lt;&gt;"Sa",LV5&lt;&gt;"So"),COUNTIF(Tabelle1[Spalte330],"A"),IF(AND(LV5&lt;&gt;"Sa",LV5&lt;&gt;"So"),COUNTIF(Tabelle1[Spalte330],"")-1,""))&lt;0,0,IF(AND(LV4&lt;=TODAY(),LV5&lt;&gt;"Sa",LV5&lt;&gt;"So"),COUNTIF(Tabelle1[Spalte330],"A"),IF(AND(LV5&lt;&gt;"Sa",LV5&lt;&gt;"So"),COUNTIF(Tabelle1[Spalte330],"")-1,"")))</totalsRowFormula>
    </tableColumn>
    <tableColumn id="333" xr3:uid="{00000000-0010-0000-0000-00004D010000}" name="Spalte331" totalsRowFunction="custom" dataDxfId="1968" totalsRowDxfId="39">
      <totalsRowFormula>IF(IF(AND(LW4&lt;=TODAY(),LW5&lt;&gt;"Sa",LW5&lt;&gt;"So"),COUNTIF(Tabelle1[Spalte331],"A"),IF(AND(LW5&lt;&gt;"Sa",LW5&lt;&gt;"So"),COUNTIF(Tabelle1[Spalte331],"")-1,""))&lt;0,0,IF(AND(LW4&lt;=TODAY(),LW5&lt;&gt;"Sa",LW5&lt;&gt;"So"),COUNTIF(Tabelle1[Spalte331],"A"),IF(AND(LW5&lt;&gt;"Sa",LW5&lt;&gt;"So"),COUNTIF(Tabelle1[Spalte331],"")-1,"")))</totalsRowFormula>
    </tableColumn>
    <tableColumn id="334" xr3:uid="{00000000-0010-0000-0000-00004E010000}" name="Spalte332" totalsRowFunction="custom" dataDxfId="1967" totalsRowDxfId="38">
      <totalsRowFormula>IF(IF(AND(LX4&lt;=TODAY(),LX5&lt;&gt;"Sa",LX5&lt;&gt;"So"),COUNTIF(Tabelle1[Spalte332],"A"),IF(AND(LX5&lt;&gt;"Sa",LX5&lt;&gt;"So"),COUNTIF(Tabelle1[Spalte332],"")-1,""))&lt;0,0,IF(AND(LX4&lt;=TODAY(),LX5&lt;&gt;"Sa",LX5&lt;&gt;"So"),COUNTIF(Tabelle1[Spalte332],"A"),IF(AND(LX5&lt;&gt;"Sa",LX5&lt;&gt;"So"),COUNTIF(Tabelle1[Spalte332],"")-1,"")))</totalsRowFormula>
    </tableColumn>
    <tableColumn id="335" xr3:uid="{00000000-0010-0000-0000-00004F010000}" name="Spalte333" totalsRowFunction="custom" dataDxfId="1966" totalsRowDxfId="37">
      <totalsRowFormula>IF(IF(AND(LY4&lt;=TODAY(),LY5&lt;&gt;"Sa",LY5&lt;&gt;"So"),COUNTIF(Tabelle1[Spalte333],"A"),IF(AND(LY5&lt;&gt;"Sa",LY5&lt;&gt;"So"),COUNTIF(Tabelle1[Spalte333],"")-1,""))&lt;0,0,IF(AND(LY4&lt;=TODAY(),LY5&lt;&gt;"Sa",LY5&lt;&gt;"So"),COUNTIF(Tabelle1[Spalte333],"A"),IF(AND(LY5&lt;&gt;"Sa",LY5&lt;&gt;"So"),COUNTIF(Tabelle1[Spalte333],"")-1,"")))</totalsRowFormula>
    </tableColumn>
    <tableColumn id="336" xr3:uid="{00000000-0010-0000-0000-000050010000}" name="Spalte334" totalsRowFunction="custom" dataDxfId="1965" totalsRowDxfId="36">
      <totalsRowFormula>IF(IF(AND(LZ4&lt;=TODAY(),LZ5&lt;&gt;"Sa",LZ5&lt;&gt;"So"),COUNTIF(Tabelle1[Spalte334],"A"),IF(AND(LZ5&lt;&gt;"Sa",LZ5&lt;&gt;"So"),COUNTIF(Tabelle1[Spalte334],"")-1,""))&lt;0,0,IF(AND(LZ4&lt;=TODAY(),LZ5&lt;&gt;"Sa",LZ5&lt;&gt;"So"),COUNTIF(Tabelle1[Spalte334],"A"),IF(AND(LZ5&lt;&gt;"Sa",LZ5&lt;&gt;"So"),COUNTIF(Tabelle1[Spalte334],"")-1,"")))</totalsRowFormula>
    </tableColumn>
    <tableColumn id="337" xr3:uid="{00000000-0010-0000-0000-000051010000}" name="Spalte335" totalsRowFunction="custom" dataDxfId="1964" totalsRowDxfId="35">
      <totalsRowFormula>IF(IF(AND(MA4&lt;=TODAY(),MA5&lt;&gt;"Sa",MA5&lt;&gt;"So"),COUNTIF(Tabelle1[Spalte335],"A"),IF(AND(MA5&lt;&gt;"Sa",MA5&lt;&gt;"So"),COUNTIF(Tabelle1[Spalte335],"")-1,""))&lt;0,0,IF(AND(MA4&lt;=TODAY(),MA5&lt;&gt;"Sa",MA5&lt;&gt;"So"),COUNTIF(Tabelle1[Spalte335],"A"),IF(AND(MA5&lt;&gt;"Sa",MA5&lt;&gt;"So"),COUNTIF(Tabelle1[Spalte335],"")-1,"")))</totalsRowFormula>
    </tableColumn>
    <tableColumn id="338" xr3:uid="{00000000-0010-0000-0000-000052010000}" name="Spalte336" totalsRowFunction="custom" dataDxfId="1963" totalsRowDxfId="34">
      <totalsRowFormula>IF(IF(AND(MB4&lt;=TODAY(),MB5&lt;&gt;"Sa",MB5&lt;&gt;"So"),COUNTIF(Tabelle1[Spalte336],"A"),IF(AND(MB5&lt;&gt;"Sa",MB5&lt;&gt;"So"),COUNTIF(Tabelle1[Spalte336],"")-1,""))&lt;0,0,IF(AND(MB4&lt;=TODAY(),MB5&lt;&gt;"Sa",MB5&lt;&gt;"So"),COUNTIF(Tabelle1[Spalte336],"A"),IF(AND(MB5&lt;&gt;"Sa",MB5&lt;&gt;"So"),COUNTIF(Tabelle1[Spalte336],"")-1,"")))</totalsRowFormula>
    </tableColumn>
    <tableColumn id="339" xr3:uid="{00000000-0010-0000-0000-000053010000}" name="Spalte337" totalsRowFunction="custom" dataDxfId="1962" totalsRowDxfId="33">
      <totalsRowFormula>IF(IF(AND(MC4&lt;=TODAY(),MC5&lt;&gt;"Sa",MC5&lt;&gt;"So"),COUNTIF(Tabelle1[Spalte337],"A"),IF(AND(MC5&lt;&gt;"Sa",MC5&lt;&gt;"So"),COUNTIF(Tabelle1[Spalte337],"")-1,""))&lt;0,0,IF(AND(MC4&lt;=TODAY(),MC5&lt;&gt;"Sa",MC5&lt;&gt;"So"),COUNTIF(Tabelle1[Spalte337],"A"),IF(AND(MC5&lt;&gt;"Sa",MC5&lt;&gt;"So"),COUNTIF(Tabelle1[Spalte337],"")-1,"")))</totalsRowFormula>
    </tableColumn>
    <tableColumn id="340" xr3:uid="{00000000-0010-0000-0000-000054010000}" name="Spalte338" totalsRowFunction="custom" dataDxfId="1961" totalsRowDxfId="32">
      <totalsRowFormula>IF(IF(AND(MD4&lt;=TODAY(),MD5&lt;&gt;"Sa",MD5&lt;&gt;"So"),COUNTIF(Tabelle1[Spalte338],"A"),IF(AND(MD5&lt;&gt;"Sa",MD5&lt;&gt;"So"),COUNTIF(Tabelle1[Spalte338],"")-1,""))&lt;0,0,IF(AND(MD4&lt;=TODAY(),MD5&lt;&gt;"Sa",MD5&lt;&gt;"So"),COUNTIF(Tabelle1[Spalte338],"A"),IF(AND(MD5&lt;&gt;"Sa",MD5&lt;&gt;"So"),COUNTIF(Tabelle1[Spalte338],"")-1,"")))</totalsRowFormula>
    </tableColumn>
    <tableColumn id="341" xr3:uid="{00000000-0010-0000-0000-000055010000}" name="Spalte339" totalsRowFunction="custom" dataDxfId="1960" totalsRowDxfId="31">
      <totalsRowFormula>IF(IF(AND(ME4&lt;=TODAY(),ME5&lt;&gt;"Sa",ME5&lt;&gt;"So"),COUNTIF(Tabelle1[Spalte339],"A"),IF(AND(ME5&lt;&gt;"Sa",ME5&lt;&gt;"So"),COUNTIF(Tabelle1[Spalte339],"")-1,""))&lt;0,0,IF(AND(ME4&lt;=TODAY(),ME5&lt;&gt;"Sa",ME5&lt;&gt;"So"),COUNTIF(Tabelle1[Spalte339],"A"),IF(AND(ME5&lt;&gt;"Sa",ME5&lt;&gt;"So"),COUNTIF(Tabelle1[Spalte339],"")-1,"")))</totalsRowFormula>
    </tableColumn>
    <tableColumn id="342" xr3:uid="{00000000-0010-0000-0000-000056010000}" name="Spalte340" totalsRowFunction="custom" dataDxfId="1959" totalsRowDxfId="30">
      <totalsRowFormula>IF(IF(AND(MF4&lt;=TODAY(),MF5&lt;&gt;"Sa",MF5&lt;&gt;"So"),COUNTIF(Tabelle1[Spalte340],"A"),IF(AND(MF5&lt;&gt;"Sa",MF5&lt;&gt;"So"),COUNTIF(Tabelle1[Spalte340],"")-1,""))&lt;0,0,IF(AND(MF4&lt;=TODAY(),MF5&lt;&gt;"Sa",MF5&lt;&gt;"So"),COUNTIF(Tabelle1[Spalte340],"A"),IF(AND(MF5&lt;&gt;"Sa",MF5&lt;&gt;"So"),COUNTIF(Tabelle1[Spalte340],"")-1,"")))</totalsRowFormula>
    </tableColumn>
    <tableColumn id="343" xr3:uid="{00000000-0010-0000-0000-000057010000}" name="Spalte341" totalsRowFunction="custom" dataDxfId="1958" totalsRowDxfId="29">
      <totalsRowFormula>IF(IF(AND(MG4&lt;=TODAY(),MG5&lt;&gt;"Sa",MG5&lt;&gt;"So"),COUNTIF(Tabelle1[Spalte341],"A"),IF(AND(MG5&lt;&gt;"Sa",MG5&lt;&gt;"So"),COUNTIF(Tabelle1[Spalte341],"")-1,""))&lt;0,0,IF(AND(MG4&lt;=TODAY(),MG5&lt;&gt;"Sa",MG5&lt;&gt;"So"),COUNTIF(Tabelle1[Spalte341],"A"),IF(AND(MG5&lt;&gt;"Sa",MG5&lt;&gt;"So"),COUNTIF(Tabelle1[Spalte341],"")-1,"")))</totalsRowFormula>
    </tableColumn>
    <tableColumn id="344" xr3:uid="{00000000-0010-0000-0000-000058010000}" name="Spalte342" totalsRowFunction="custom" dataDxfId="1957" totalsRowDxfId="28">
      <totalsRowFormula>IF(IF(AND(MH4&lt;=TODAY(),MH5&lt;&gt;"Sa",MH5&lt;&gt;"So"),COUNTIF(Tabelle1[Spalte342],"A"),IF(AND(MH5&lt;&gt;"Sa",MH5&lt;&gt;"So"),COUNTIF(Tabelle1[Spalte342],"")-1,""))&lt;0,0,IF(AND(MH4&lt;=TODAY(),MH5&lt;&gt;"Sa",MH5&lt;&gt;"So"),COUNTIF(Tabelle1[Spalte342],"A"),IF(AND(MH5&lt;&gt;"Sa",MH5&lt;&gt;"So"),COUNTIF(Tabelle1[Spalte342],"")-1,"")))</totalsRowFormula>
    </tableColumn>
    <tableColumn id="345" xr3:uid="{00000000-0010-0000-0000-000059010000}" name="Spalte343" totalsRowFunction="custom" dataDxfId="1956" totalsRowDxfId="27">
      <totalsRowFormula>IF(IF(AND(MI4&lt;=TODAY(),MI5&lt;&gt;"Sa",MI5&lt;&gt;"So"),COUNTIF(Tabelle1[Spalte343],"A"),IF(AND(MI5&lt;&gt;"Sa",MI5&lt;&gt;"So"),COUNTIF(Tabelle1[Spalte343],"")-1,""))&lt;0,0,IF(AND(MI4&lt;=TODAY(),MI5&lt;&gt;"Sa",MI5&lt;&gt;"So"),COUNTIF(Tabelle1[Spalte343],"A"),IF(AND(MI5&lt;&gt;"Sa",MI5&lt;&gt;"So"),COUNTIF(Tabelle1[Spalte343],"")-1,"")))</totalsRowFormula>
    </tableColumn>
    <tableColumn id="346" xr3:uid="{00000000-0010-0000-0000-00005A010000}" name="Spalte344" totalsRowFunction="custom" dataDxfId="1955" totalsRowDxfId="26">
      <totalsRowFormula>IF(IF(AND(MJ4&lt;=TODAY(),MJ5&lt;&gt;"Sa",MJ5&lt;&gt;"So"),COUNTIF(Tabelle1[Spalte344],"A"),IF(AND(MJ5&lt;&gt;"Sa",MJ5&lt;&gt;"So"),COUNTIF(Tabelle1[Spalte344],"")-1,""))&lt;0,0,IF(AND(MJ4&lt;=TODAY(),MJ5&lt;&gt;"Sa",MJ5&lt;&gt;"So"),COUNTIF(Tabelle1[Spalte344],"A"),IF(AND(MJ5&lt;&gt;"Sa",MJ5&lt;&gt;"So"),COUNTIF(Tabelle1[Spalte344],"")-1,"")))</totalsRowFormula>
    </tableColumn>
    <tableColumn id="347" xr3:uid="{00000000-0010-0000-0000-00005B010000}" name="Spalte345" totalsRowFunction="custom" dataDxfId="1954" totalsRowDxfId="25">
      <totalsRowFormula>IF(IF(AND(MK4&lt;=TODAY(),MK5&lt;&gt;"Sa",MK5&lt;&gt;"So"),COUNTIF(Tabelle1[Spalte345],"A"),IF(AND(MK5&lt;&gt;"Sa",MK5&lt;&gt;"So"),COUNTIF(Tabelle1[Spalte345],"")-1,""))&lt;0,0,IF(AND(MK4&lt;=TODAY(),MK5&lt;&gt;"Sa",MK5&lt;&gt;"So"),COUNTIF(Tabelle1[Spalte345],"A"),IF(AND(MK5&lt;&gt;"Sa",MK5&lt;&gt;"So"),COUNTIF(Tabelle1[Spalte345],"")-1,"")))</totalsRowFormula>
    </tableColumn>
    <tableColumn id="348" xr3:uid="{00000000-0010-0000-0000-00005C010000}" name="Spalte346" totalsRowFunction="custom" dataDxfId="1953" totalsRowDxfId="24">
      <totalsRowFormula>IF(IF(AND(ML4&lt;=TODAY(),ML5&lt;&gt;"Sa",ML5&lt;&gt;"So"),COUNTIF(Tabelle1[Spalte346],"A"),IF(AND(ML5&lt;&gt;"Sa",ML5&lt;&gt;"So"),COUNTIF(Tabelle1[Spalte346],"")-1,""))&lt;0,0,IF(AND(ML4&lt;=TODAY(),ML5&lt;&gt;"Sa",ML5&lt;&gt;"So"),COUNTIF(Tabelle1[Spalte346],"A"),IF(AND(ML5&lt;&gt;"Sa",ML5&lt;&gt;"So"),COUNTIF(Tabelle1[Spalte346],"")-1,"")))</totalsRowFormula>
    </tableColumn>
    <tableColumn id="349" xr3:uid="{00000000-0010-0000-0000-00005D010000}" name="Spalte347" totalsRowFunction="custom" dataDxfId="1952" totalsRowDxfId="23">
      <totalsRowFormula>IF(IF(AND(MM4&lt;=TODAY(),MM5&lt;&gt;"Sa",MM5&lt;&gt;"So"),COUNTIF(Tabelle1[Spalte347],"A"),IF(AND(MM5&lt;&gt;"Sa",MM5&lt;&gt;"So"),COUNTIF(Tabelle1[Spalte347],"")-1,""))&lt;0,0,IF(AND(MM4&lt;=TODAY(),MM5&lt;&gt;"Sa",MM5&lt;&gt;"So"),COUNTIF(Tabelle1[Spalte347],"A"),IF(AND(MM5&lt;&gt;"Sa",MM5&lt;&gt;"So"),COUNTIF(Tabelle1[Spalte347],"")-1,"")))</totalsRowFormula>
    </tableColumn>
    <tableColumn id="350" xr3:uid="{00000000-0010-0000-0000-00005E010000}" name="Spalte348" totalsRowFunction="custom" dataDxfId="1951" totalsRowDxfId="22">
      <totalsRowFormula>IF(IF(AND(MN4&lt;=TODAY(),MN5&lt;&gt;"Sa",MN5&lt;&gt;"So"),COUNTIF(Tabelle1[Spalte348],"A"),IF(AND(MN5&lt;&gt;"Sa",MN5&lt;&gt;"So"),COUNTIF(Tabelle1[Spalte348],"")-1,""))&lt;0,0,IF(AND(MN4&lt;=TODAY(),MN5&lt;&gt;"Sa",MN5&lt;&gt;"So"),COUNTIF(Tabelle1[Spalte348],"A"),IF(AND(MN5&lt;&gt;"Sa",MN5&lt;&gt;"So"),COUNTIF(Tabelle1[Spalte348],"")-1,"")))</totalsRowFormula>
    </tableColumn>
    <tableColumn id="351" xr3:uid="{00000000-0010-0000-0000-00005F010000}" name="Spalte349" totalsRowFunction="custom" dataDxfId="1950" totalsRowDxfId="21">
      <totalsRowFormula>IF(IF(AND(MO4&lt;=TODAY(),MO5&lt;&gt;"Sa",MO5&lt;&gt;"So"),COUNTIF(Tabelle1[Spalte349],"A"),IF(AND(MO5&lt;&gt;"Sa",MO5&lt;&gt;"So"),COUNTIF(Tabelle1[Spalte349],"")-1,""))&lt;0,0,IF(AND(MO4&lt;=TODAY(),MO5&lt;&gt;"Sa",MO5&lt;&gt;"So"),COUNTIF(Tabelle1[Spalte349],"A"),IF(AND(MO5&lt;&gt;"Sa",MO5&lt;&gt;"So"),COUNTIF(Tabelle1[Spalte349],"")-1,"")))</totalsRowFormula>
    </tableColumn>
    <tableColumn id="352" xr3:uid="{00000000-0010-0000-0000-000060010000}" name="Spalte350" totalsRowFunction="custom" dataDxfId="1949" totalsRowDxfId="20">
      <totalsRowFormula>IF(IF(AND(MP4&lt;=TODAY(),MP5&lt;&gt;"Sa",MP5&lt;&gt;"So"),COUNTIF(Tabelle1[Spalte350],"A"),IF(AND(MP5&lt;&gt;"Sa",MP5&lt;&gt;"So"),COUNTIF(Tabelle1[Spalte350],"")-1,""))&lt;0,0,IF(AND(MP4&lt;=TODAY(),MP5&lt;&gt;"Sa",MP5&lt;&gt;"So"),COUNTIF(Tabelle1[Spalte350],"A"),IF(AND(MP5&lt;&gt;"Sa",MP5&lt;&gt;"So"),COUNTIF(Tabelle1[Spalte350],"")-1,"")))</totalsRowFormula>
    </tableColumn>
    <tableColumn id="353" xr3:uid="{00000000-0010-0000-0000-000061010000}" name="Spalte351" totalsRowFunction="custom" dataDxfId="1948" totalsRowDxfId="19">
      <totalsRowFormula>IF(IF(AND(MQ4&lt;=TODAY(),MQ5&lt;&gt;"Sa",MQ5&lt;&gt;"So"),COUNTIF(Tabelle1[Spalte351],"A"),IF(AND(MQ5&lt;&gt;"Sa",MQ5&lt;&gt;"So"),COUNTIF(Tabelle1[Spalte351],"")-1,""))&lt;0,0,IF(AND(MQ4&lt;=TODAY(),MQ5&lt;&gt;"Sa",MQ5&lt;&gt;"So"),COUNTIF(Tabelle1[Spalte351],"A"),IF(AND(MQ5&lt;&gt;"Sa",MQ5&lt;&gt;"So"),COUNTIF(Tabelle1[Spalte351],"")-1,"")))</totalsRowFormula>
    </tableColumn>
    <tableColumn id="354" xr3:uid="{00000000-0010-0000-0000-000062010000}" name="Spalte352" totalsRowFunction="custom" dataDxfId="1947" totalsRowDxfId="18">
      <totalsRowFormula>IF(IF(AND(MR4&lt;=TODAY(),MR5&lt;&gt;"Sa",MR5&lt;&gt;"So"),COUNTIF(Tabelle1[Spalte352],"A"),IF(AND(MR5&lt;&gt;"Sa",MR5&lt;&gt;"So"),COUNTIF(Tabelle1[Spalte352],"")-1,""))&lt;0,0,IF(AND(MR4&lt;=TODAY(),MR5&lt;&gt;"Sa",MR5&lt;&gt;"So"),COUNTIF(Tabelle1[Spalte352],"A"),IF(AND(MR5&lt;&gt;"Sa",MR5&lt;&gt;"So"),COUNTIF(Tabelle1[Spalte352],"")-1,"")))</totalsRowFormula>
    </tableColumn>
    <tableColumn id="355" xr3:uid="{00000000-0010-0000-0000-000063010000}" name="Spalte353" totalsRowFunction="custom" dataDxfId="1946" totalsRowDxfId="17">
      <totalsRowFormula>IF(IF(AND(MS4&lt;=TODAY(),MS5&lt;&gt;"Sa",MS5&lt;&gt;"So"),COUNTIF(Tabelle1[Spalte353],"A"),IF(AND(MS5&lt;&gt;"Sa",MS5&lt;&gt;"So"),COUNTIF(Tabelle1[Spalte353],"")-1,""))&lt;0,0,IF(AND(MS4&lt;=TODAY(),MS5&lt;&gt;"Sa",MS5&lt;&gt;"So"),COUNTIF(Tabelle1[Spalte353],"A"),IF(AND(MS5&lt;&gt;"Sa",MS5&lt;&gt;"So"),COUNTIF(Tabelle1[Spalte353],"")-1,"")))</totalsRowFormula>
    </tableColumn>
    <tableColumn id="356" xr3:uid="{00000000-0010-0000-0000-000064010000}" name="Spalte354" totalsRowFunction="custom" dataDxfId="1945" totalsRowDxfId="16">
      <totalsRowFormula>IF(IF(AND(MT4&lt;=TODAY(),MT5&lt;&gt;"Sa",MT5&lt;&gt;"So"),COUNTIF(Tabelle1[Spalte354],"A"),IF(AND(MT5&lt;&gt;"Sa",MT5&lt;&gt;"So"),COUNTIF(Tabelle1[Spalte354],"")-1,""))&lt;0,0,IF(AND(MT4&lt;=TODAY(),MT5&lt;&gt;"Sa",MT5&lt;&gt;"So"),COUNTIF(Tabelle1[Spalte354],"A"),IF(AND(MT5&lt;&gt;"Sa",MT5&lt;&gt;"So"),COUNTIF(Tabelle1[Spalte354],"")-1,"")))</totalsRowFormula>
    </tableColumn>
    <tableColumn id="357" xr3:uid="{00000000-0010-0000-0000-000065010000}" name="Spalte355" totalsRowFunction="custom" dataDxfId="1944" totalsRowDxfId="15">
      <totalsRowFormula>IF(IF(AND(MU4&lt;=TODAY(),MU5&lt;&gt;"Sa",MU5&lt;&gt;"So"),COUNTIF(Tabelle1[Spalte355],"A"),IF(AND(MU5&lt;&gt;"Sa",MU5&lt;&gt;"So"),COUNTIF(Tabelle1[Spalte355],"")-1,""))&lt;0,0,IF(AND(MU4&lt;=TODAY(),MU5&lt;&gt;"Sa",MU5&lt;&gt;"So"),COUNTIF(Tabelle1[Spalte355],"A"),IF(AND(MU5&lt;&gt;"Sa",MU5&lt;&gt;"So"),COUNTIF(Tabelle1[Spalte355],"")-1,"")))</totalsRowFormula>
    </tableColumn>
    <tableColumn id="358" xr3:uid="{00000000-0010-0000-0000-000066010000}" name="Spalte356" totalsRowFunction="custom" dataDxfId="1943" totalsRowDxfId="14">
      <totalsRowFormula>IF(IF(AND(MV4&lt;=TODAY(),MV5&lt;&gt;"Sa",MV5&lt;&gt;"So"),COUNTIF(Tabelle1[Spalte356],"A"),IF(AND(MV5&lt;&gt;"Sa",MV5&lt;&gt;"So"),COUNTIF(Tabelle1[Spalte356],"")-1,""))&lt;0,0,IF(AND(MV4&lt;=TODAY(),MV5&lt;&gt;"Sa",MV5&lt;&gt;"So"),COUNTIF(Tabelle1[Spalte356],"A"),IF(AND(MV5&lt;&gt;"Sa",MV5&lt;&gt;"So"),COUNTIF(Tabelle1[Spalte356],"")-1,"")))</totalsRowFormula>
    </tableColumn>
    <tableColumn id="359" xr3:uid="{00000000-0010-0000-0000-000067010000}" name="Spalte357" totalsRowFunction="custom" dataDxfId="1942" totalsRowDxfId="13">
      <totalsRowFormula>IF(IF(AND(MW4&lt;=TODAY(),MW5&lt;&gt;"Sa",MW5&lt;&gt;"So"),COUNTIF(Tabelle1[Spalte357],"A"),IF(AND(MW5&lt;&gt;"Sa",MW5&lt;&gt;"So"),COUNTIF(Tabelle1[Spalte357],"")-1,""))&lt;0,0,IF(AND(MW4&lt;=TODAY(),MW5&lt;&gt;"Sa",MW5&lt;&gt;"So"),COUNTIF(Tabelle1[Spalte357],"A"),IF(AND(MW5&lt;&gt;"Sa",MW5&lt;&gt;"So"),COUNTIF(Tabelle1[Spalte357],"")-1,"")))</totalsRowFormula>
    </tableColumn>
    <tableColumn id="360" xr3:uid="{00000000-0010-0000-0000-000068010000}" name="Spalte358" totalsRowFunction="custom" dataDxfId="1941" totalsRowDxfId="12">
      <totalsRowFormula>IF(IF(AND(MX4&lt;=TODAY(),MX5&lt;&gt;"Sa",MX5&lt;&gt;"So"),COUNTIF(Tabelle1[Spalte358],"A"),IF(AND(MX5&lt;&gt;"Sa",MX5&lt;&gt;"So"),COUNTIF(Tabelle1[Spalte358],"")-1,""))&lt;0,0,IF(AND(MX4&lt;=TODAY(),MX5&lt;&gt;"Sa",MX5&lt;&gt;"So"),COUNTIF(Tabelle1[Spalte358],"A"),IF(AND(MX5&lt;&gt;"Sa",MX5&lt;&gt;"So"),COUNTIF(Tabelle1[Spalte358],"")-1,"")))</totalsRowFormula>
    </tableColumn>
    <tableColumn id="361" xr3:uid="{00000000-0010-0000-0000-000069010000}" name="Spalte359" totalsRowFunction="custom" dataDxfId="1940" totalsRowDxfId="11">
      <totalsRowFormula>IF(IF(AND(MY4&lt;=TODAY(),MY5&lt;&gt;"Sa",MY5&lt;&gt;"So"),COUNTIF(Tabelle1[Spalte359],"A"),IF(AND(MY5&lt;&gt;"Sa",MY5&lt;&gt;"So"),COUNTIF(Tabelle1[Spalte359],"")-1,""))&lt;0,0,IF(AND(MY4&lt;=TODAY(),MY5&lt;&gt;"Sa",MY5&lt;&gt;"So"),COUNTIF(Tabelle1[Spalte359],"A"),IF(AND(MY5&lt;&gt;"Sa",MY5&lt;&gt;"So"),COUNTIF(Tabelle1[Spalte359],"")-1,"")))</totalsRowFormula>
    </tableColumn>
    <tableColumn id="362" xr3:uid="{00000000-0010-0000-0000-00006A010000}" name="Spalte360" totalsRowFunction="custom" dataDxfId="1939" totalsRowDxfId="10">
      <totalsRowFormula>IF(IF(AND(MZ4&lt;=TODAY(),MZ5&lt;&gt;"Sa",MZ5&lt;&gt;"So"),COUNTIF(Tabelle1[Spalte360],"A"),IF(AND(MZ5&lt;&gt;"Sa",MZ5&lt;&gt;"So"),COUNTIF(Tabelle1[Spalte360],"")-1,""))&lt;0,0,IF(AND(MZ4&lt;=TODAY(),MZ5&lt;&gt;"Sa",MZ5&lt;&gt;"So"),COUNTIF(Tabelle1[Spalte360],"A"),IF(AND(MZ5&lt;&gt;"Sa",MZ5&lt;&gt;"So"),COUNTIF(Tabelle1[Spalte360],"")-1,"")))</totalsRowFormula>
    </tableColumn>
    <tableColumn id="363" xr3:uid="{00000000-0010-0000-0000-00006B010000}" name="Spalte361" totalsRowFunction="custom" dataDxfId="1938" totalsRowDxfId="9">
      <totalsRowFormula>IF(IF(AND(NA4&lt;=TODAY(),NA5&lt;&gt;"Sa",NA5&lt;&gt;"So"),COUNTIF(Tabelle1[Spalte361],"A"),IF(AND(NA5&lt;&gt;"Sa",NA5&lt;&gt;"So"),COUNTIF(Tabelle1[Spalte361],"")-1,""))&lt;0,0,IF(AND(NA4&lt;=TODAY(),NA5&lt;&gt;"Sa",NA5&lt;&gt;"So"),COUNTIF(Tabelle1[Spalte361],"A"),IF(AND(NA5&lt;&gt;"Sa",NA5&lt;&gt;"So"),COUNTIF(Tabelle1[Spalte361],"")-1,"")))</totalsRowFormula>
    </tableColumn>
    <tableColumn id="364" xr3:uid="{00000000-0010-0000-0000-00006C010000}" name="Spalte362" totalsRowFunction="custom" dataDxfId="1937" totalsRowDxfId="8">
      <totalsRowFormula>IF(IF(AND(NB4&lt;=TODAY(),NB5&lt;&gt;"Sa",NB5&lt;&gt;"So"),COUNTIF(Tabelle1[Spalte362],"A"),IF(AND(NB5&lt;&gt;"Sa",NB5&lt;&gt;"So"),COUNTIF(Tabelle1[Spalte362],"")-1,""))&lt;0,0,IF(AND(NB4&lt;=TODAY(),NB5&lt;&gt;"Sa",NB5&lt;&gt;"So"),COUNTIF(Tabelle1[Spalte362],"A"),IF(AND(NB5&lt;&gt;"Sa",NB5&lt;&gt;"So"),COUNTIF(Tabelle1[Spalte362],"")-1,"")))</totalsRowFormula>
    </tableColumn>
    <tableColumn id="365" xr3:uid="{00000000-0010-0000-0000-00006D010000}" name="Spalte363" totalsRowFunction="custom" dataDxfId="1936" totalsRowDxfId="7">
      <totalsRowFormula>IF(IF(AND(NC4&lt;=TODAY(),NC5&lt;&gt;"Sa",NC5&lt;&gt;"So"),COUNTIF(Tabelle1[Spalte363],"A"),IF(AND(NC5&lt;&gt;"Sa",NC5&lt;&gt;"So"),COUNTIF(Tabelle1[Spalte363],"")-1,""))&lt;0,0,IF(AND(NC4&lt;=TODAY(),NC5&lt;&gt;"Sa",NC5&lt;&gt;"So"),COUNTIF(Tabelle1[Spalte363],"A"),IF(AND(NC5&lt;&gt;"Sa",NC5&lt;&gt;"So"),COUNTIF(Tabelle1[Spalte363],"")-1,"")))</totalsRowFormula>
    </tableColumn>
    <tableColumn id="366" xr3:uid="{00000000-0010-0000-0000-00006E010000}" name="Spalte364" totalsRowFunction="custom" dataDxfId="1935" totalsRowDxfId="6">
      <totalsRowFormula>IF(IF(AND(ND4&lt;=TODAY(),ND5&lt;&gt;"Sa",ND5&lt;&gt;"So"),COUNTIF(Tabelle1[Spalte364],"A"),IF(AND(ND5&lt;&gt;"Sa",ND5&lt;&gt;"So"),COUNTIF(Tabelle1[Spalte364],"")-1,""))&lt;0,0,IF(AND(ND4&lt;=TODAY(),ND5&lt;&gt;"Sa",ND5&lt;&gt;"So"),COUNTIF(Tabelle1[Spalte364],"A"),IF(AND(ND5&lt;&gt;"Sa",ND5&lt;&gt;"So"),COUNTIF(Tabelle1[Spalte364],"")-1,"")))</totalsRowFormula>
    </tableColumn>
    <tableColumn id="367" xr3:uid="{00000000-0010-0000-0000-00006F010000}" name="Spalte365" totalsRowFunction="custom" dataDxfId="1934" totalsRowDxfId="5">
      <totalsRowFormula>IF(IF(AND(NE4&lt;=TODAY(),NE5&lt;&gt;"Sa",NE5&lt;&gt;"So"),COUNTIF(Tabelle1[Spalte365],"A"),IF(AND(NE5&lt;&gt;"Sa",NE5&lt;&gt;"So"),COUNTIF(Tabelle1[Spalte365],"")-1,""))&lt;0,0,IF(AND(NE4&lt;=TODAY(),NE5&lt;&gt;"Sa",NE5&lt;&gt;"So"),COUNTIF(Tabelle1[Spalte365],"A"),IF(AND(NE5&lt;&gt;"Sa",NE5&lt;&gt;"So"),COUNTIF(Tabelle1[Spalte365],"")-1,"")))</totalsRowFormula>
    </tableColumn>
    <tableColumn id="368" xr3:uid="{00000000-0010-0000-0000-000070010000}" name="Spalte366" totalsRowFunction="custom" dataDxfId="1933" totalsRowDxfId="4">
      <totalsRowFormula>IF(IF(AND(NF4&lt;=TODAY(),NF5&lt;&gt;"Sa",NF5&lt;&gt;"So"),COUNTIF(Tabelle1[Spalte366],"A"),IF(AND(NF5&lt;&gt;"Sa",NF5&lt;&gt;"So"),COUNTIF(Tabelle1[Spalte366],"")-1,""))&lt;0,0,IF(AND(NF4&lt;=TODAY(),NF5&lt;&gt;"Sa",NF5&lt;&gt;"So"),COUNTIF(Tabelle1[Spalte366],"A"),IF(AND(NF5&lt;&gt;"Sa",NF5&lt;&gt;"So"),COUNTIF(Tabelle1[Spalte366],"")-1,"")))</totalsRowFormula>
    </tableColumn>
    <tableColumn id="369" xr3:uid="{00000000-0010-0000-0000-000071010000}" name="Spalte367" totalsRowFunction="custom" dataDxfId="1932" totalsRowDxfId="3">
      <totalsRowFormula>IF(IF(AND(NG4&lt;=TODAY(),NG5&lt;&gt;"Sa",NG5&lt;&gt;"So"),COUNTIF(Tabelle1[Spalte367],"A"),IF(AND(NG5&lt;&gt;"Sa",NG5&lt;&gt;"So"),COUNTIF(Tabelle1[Spalte367],"")-1,""))&lt;0,0,IF(AND(NG4&lt;=TODAY(),NG5&lt;&gt;"Sa",NG5&lt;&gt;"So"),COUNTIF(Tabelle1[Spalte367],"A"),IF(AND(NG5&lt;&gt;"Sa",NG5&lt;&gt;"So"),COUNTIF(Tabelle1[Spalte367],"")-1,"")))</totalsRowFormula>
    </tableColumn>
    <tableColumn id="370" xr3:uid="{00000000-0010-0000-0000-000072010000}" name="Spalte368" dataDxfId="1931" totalsRowDxfId="2"/>
    <tableColumn id="372" xr3:uid="{00000000-0010-0000-0000-000074010000}" name="HA" dataDxfId="1930" totalsRowDxfId="1"/>
    <tableColumn id="373" xr3:uid="{00000000-0010-0000-0000-000075010000}" name="Messe" totalsRowFunction="count" dataDxfId="1929" totalsRowDxfId="0"/>
  </tableColumns>
  <tableStyleInfo name="TableStyleMedium2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elle14" displayName="Tabelle14" ref="A22:NJ27" totalsRowShown="0" dataDxfId="1928">
  <autoFilter ref="A22:NJ27"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filterColumn colId="200" hiddenButton="1"/>
    <filterColumn colId="201" hiddenButton="1"/>
    <filterColumn colId="202" hiddenButton="1"/>
    <filterColumn colId="203" hiddenButton="1"/>
    <filterColumn colId="204" hiddenButton="1"/>
    <filterColumn colId="205" hiddenButton="1"/>
    <filterColumn colId="206" hiddenButton="1"/>
    <filterColumn colId="207" hiddenButton="1"/>
    <filterColumn colId="208" hiddenButton="1"/>
    <filterColumn colId="209" hiddenButton="1"/>
    <filterColumn colId="210" hiddenButton="1"/>
    <filterColumn colId="211" hiddenButton="1"/>
    <filterColumn colId="212" hiddenButton="1"/>
    <filterColumn colId="213" hiddenButton="1"/>
    <filterColumn colId="214" hiddenButton="1"/>
    <filterColumn colId="215" hiddenButton="1"/>
    <filterColumn colId="216" hiddenButton="1"/>
    <filterColumn colId="217" hiddenButton="1"/>
    <filterColumn colId="218" hiddenButton="1"/>
    <filterColumn colId="219" hiddenButton="1"/>
    <filterColumn colId="220" hiddenButton="1"/>
    <filterColumn colId="221" hiddenButton="1"/>
    <filterColumn colId="222" hiddenButton="1"/>
    <filterColumn colId="223" hiddenButton="1"/>
    <filterColumn colId="224" hiddenButton="1"/>
    <filterColumn colId="225" hiddenButton="1"/>
    <filterColumn colId="226" hiddenButton="1"/>
    <filterColumn colId="227" hiddenButton="1"/>
    <filterColumn colId="228" hiddenButton="1"/>
    <filterColumn colId="229" hiddenButton="1"/>
    <filterColumn colId="230" hiddenButton="1"/>
    <filterColumn colId="231" hiddenButton="1"/>
    <filterColumn colId="232" hiddenButton="1"/>
    <filterColumn colId="233" hiddenButton="1"/>
    <filterColumn colId="234" hiddenButton="1"/>
    <filterColumn colId="235" hiddenButton="1"/>
    <filterColumn colId="236" hiddenButton="1"/>
    <filterColumn colId="237" hiddenButton="1"/>
    <filterColumn colId="238" hiddenButton="1"/>
    <filterColumn colId="239" hiddenButton="1"/>
    <filterColumn colId="240" hiddenButton="1"/>
    <filterColumn colId="241" hiddenButton="1"/>
    <filterColumn colId="242" hiddenButton="1"/>
    <filterColumn colId="243" hiddenButton="1"/>
    <filterColumn colId="244" hiddenButton="1"/>
    <filterColumn colId="245" hiddenButton="1"/>
    <filterColumn colId="246" hiddenButton="1"/>
    <filterColumn colId="247" hiddenButton="1"/>
    <filterColumn colId="248" hiddenButton="1"/>
    <filterColumn colId="249" hiddenButton="1"/>
    <filterColumn colId="250" hiddenButton="1"/>
    <filterColumn colId="251" hiddenButton="1"/>
    <filterColumn colId="252" hiddenButton="1"/>
    <filterColumn colId="253" hiddenButton="1"/>
    <filterColumn colId="254" hiddenButton="1"/>
    <filterColumn colId="255" hiddenButton="1"/>
    <filterColumn colId="256" hiddenButton="1"/>
    <filterColumn colId="257" hiddenButton="1"/>
    <filterColumn colId="258" hiddenButton="1"/>
    <filterColumn colId="259" hiddenButton="1"/>
    <filterColumn colId="260" hiddenButton="1"/>
    <filterColumn colId="261" hiddenButton="1"/>
    <filterColumn colId="262" hiddenButton="1"/>
    <filterColumn colId="263" hiddenButton="1"/>
    <filterColumn colId="264" hiddenButton="1"/>
    <filterColumn colId="265" hiddenButton="1"/>
    <filterColumn colId="266" hiddenButton="1"/>
    <filterColumn colId="267" hiddenButton="1"/>
    <filterColumn colId="268" hiddenButton="1"/>
    <filterColumn colId="269" hiddenButton="1"/>
    <filterColumn colId="270" hiddenButton="1"/>
    <filterColumn colId="271" hiddenButton="1"/>
    <filterColumn colId="272" hiddenButton="1"/>
    <filterColumn colId="273" hiddenButton="1"/>
    <filterColumn colId="274" hiddenButton="1"/>
    <filterColumn colId="275" hiddenButton="1"/>
    <filterColumn colId="276" hiddenButton="1"/>
    <filterColumn colId="277" hiddenButton="1"/>
    <filterColumn colId="278" hiddenButton="1"/>
    <filterColumn colId="279" hiddenButton="1"/>
    <filterColumn colId="280" hiddenButton="1"/>
    <filterColumn colId="281" hiddenButton="1"/>
    <filterColumn colId="282" hiddenButton="1"/>
    <filterColumn colId="283" hiddenButton="1"/>
    <filterColumn colId="284" hiddenButton="1"/>
    <filterColumn colId="285" hiddenButton="1"/>
    <filterColumn colId="286" hiddenButton="1"/>
    <filterColumn colId="287" hiddenButton="1"/>
    <filterColumn colId="288" hiddenButton="1"/>
    <filterColumn colId="289" hiddenButton="1"/>
    <filterColumn colId="290" hiddenButton="1"/>
    <filterColumn colId="291" hiddenButton="1"/>
    <filterColumn colId="292" hiddenButton="1"/>
    <filterColumn colId="293" hiddenButton="1"/>
    <filterColumn colId="294" hiddenButton="1"/>
    <filterColumn colId="295" hiddenButton="1"/>
    <filterColumn colId="296" hiddenButton="1"/>
    <filterColumn colId="297" hiddenButton="1"/>
    <filterColumn colId="298" hiddenButton="1"/>
    <filterColumn colId="299" hiddenButton="1"/>
    <filterColumn colId="300" hiddenButton="1"/>
    <filterColumn colId="301" hiddenButton="1"/>
    <filterColumn colId="302" hiddenButton="1"/>
    <filterColumn colId="303" hiddenButton="1"/>
    <filterColumn colId="304" hiddenButton="1"/>
    <filterColumn colId="305" hiddenButton="1"/>
    <filterColumn colId="306" hiddenButton="1"/>
    <filterColumn colId="307" hiddenButton="1"/>
    <filterColumn colId="308" hiddenButton="1"/>
    <filterColumn colId="309" hiddenButton="1"/>
    <filterColumn colId="310" hiddenButton="1"/>
    <filterColumn colId="311" hiddenButton="1"/>
    <filterColumn colId="312" hiddenButton="1"/>
    <filterColumn colId="313" hiddenButton="1"/>
    <filterColumn colId="314" hiddenButton="1"/>
    <filterColumn colId="315" hiddenButton="1"/>
    <filterColumn colId="316" hiddenButton="1"/>
    <filterColumn colId="317" hiddenButton="1"/>
    <filterColumn colId="318" hiddenButton="1"/>
    <filterColumn colId="319" hiddenButton="1"/>
    <filterColumn colId="320" hiddenButton="1"/>
    <filterColumn colId="321" hiddenButton="1"/>
    <filterColumn colId="322" hiddenButton="1"/>
    <filterColumn colId="323" hiddenButton="1"/>
    <filterColumn colId="324" hiddenButton="1"/>
    <filterColumn colId="325" hiddenButton="1"/>
    <filterColumn colId="326" hiddenButton="1"/>
    <filterColumn colId="327" hiddenButton="1"/>
    <filterColumn colId="328" hiddenButton="1"/>
    <filterColumn colId="329" hiddenButton="1"/>
    <filterColumn colId="330" hiddenButton="1"/>
    <filterColumn colId="331" hiddenButton="1"/>
    <filterColumn colId="332" hiddenButton="1"/>
    <filterColumn colId="333" hiddenButton="1"/>
    <filterColumn colId="334" hiddenButton="1"/>
    <filterColumn colId="335" hiddenButton="1"/>
    <filterColumn colId="336" hiddenButton="1"/>
    <filterColumn colId="337" hiddenButton="1"/>
    <filterColumn colId="338" hiddenButton="1"/>
    <filterColumn colId="339" hiddenButton="1"/>
    <filterColumn colId="340" hiddenButton="1"/>
    <filterColumn colId="341" hiddenButton="1"/>
    <filterColumn colId="342" hiddenButton="1"/>
    <filterColumn colId="343" hiddenButton="1"/>
    <filterColumn colId="344" hiddenButton="1"/>
    <filterColumn colId="345" hiddenButton="1"/>
    <filterColumn colId="346" hiddenButton="1"/>
    <filterColumn colId="347" hiddenButton="1"/>
    <filterColumn colId="348" hiddenButton="1"/>
    <filterColumn colId="349" hiddenButton="1"/>
    <filterColumn colId="350" hiddenButton="1"/>
    <filterColumn colId="351" hiddenButton="1"/>
    <filterColumn colId="352" hiddenButton="1"/>
    <filterColumn colId="353" hiddenButton="1"/>
    <filterColumn colId="354" hiddenButton="1"/>
    <filterColumn colId="355" hiddenButton="1"/>
    <filterColumn colId="356" hiddenButton="1"/>
    <filterColumn colId="357" hiddenButton="1"/>
    <filterColumn colId="358" hiddenButton="1"/>
    <filterColumn colId="359" hiddenButton="1"/>
    <filterColumn colId="360" hiddenButton="1"/>
    <filterColumn colId="361" hiddenButton="1"/>
    <filterColumn colId="362" hiddenButton="1"/>
    <filterColumn colId="363" hiddenButton="1"/>
    <filterColumn colId="364" hiddenButton="1"/>
    <filterColumn colId="365" hiddenButton="1"/>
    <filterColumn colId="366" hiddenButton="1"/>
    <filterColumn colId="367" hiddenButton="1"/>
    <filterColumn colId="368" hiddenButton="1"/>
    <filterColumn colId="369" hiddenButton="1"/>
    <filterColumn colId="370" hiddenButton="1"/>
    <filterColumn colId="371" hiddenButton="1"/>
    <filterColumn colId="372" hiddenButton="1"/>
    <filterColumn colId="373" hiddenButton="1"/>
  </autoFilter>
  <tableColumns count="374">
    <tableColumn id="377" xr3:uid="{00000000-0010-0000-0100-000079010000}" name="Spalte1" dataDxfId="1927" totalsRowDxfId="1926"/>
    <tableColumn id="1" xr3:uid="{00000000-0010-0000-0100-000001000000}" name="DG" dataDxfId="1925" totalsRowDxfId="1924"/>
    <tableColumn id="2" xr3:uid="{00000000-0010-0000-0100-000002000000}" name="Name" dataDxfId="1923" totalsRowDxfId="1922"/>
    <tableColumn id="374" xr3:uid="{00000000-0010-0000-0100-000076010000}" name="Vorname" dataDxfId="1921" totalsRowDxfId="1920"/>
    <tableColumn id="3" xr3:uid="{00000000-0010-0000-0100-000003000000}" name="U" dataDxfId="1919" totalsRowDxfId="1918"/>
    <tableColumn id="4" xr3:uid="{00000000-0010-0000-0100-000004000000}" name="0" dataDxfId="1917" totalsRowDxfId="1916">
      <calculatedColumnFormula>Tabelle14[[#This Row],[U]]-COUNTIF(Tabelle14[[#This Row],[Spalte7]:[Spalte368]],"U")</calculatedColumnFormula>
    </tableColumn>
    <tableColumn id="5" xr3:uid="{00000000-0010-0000-0100-000005000000}" name="Spalte7" dataDxfId="1915" totalsRowDxfId="1914"/>
    <tableColumn id="6" xr3:uid="{00000000-0010-0000-0100-000006000000}" name="Spalte8" dataDxfId="1913" totalsRowDxfId="1912"/>
    <tableColumn id="7" xr3:uid="{00000000-0010-0000-0100-000007000000}" name="Spalte9" dataDxfId="1911" totalsRowDxfId="1910"/>
    <tableColumn id="8" xr3:uid="{00000000-0010-0000-0100-000008000000}" name="Spalte10" dataDxfId="1909" totalsRowDxfId="1908"/>
    <tableColumn id="9" xr3:uid="{00000000-0010-0000-0100-000009000000}" name="Spalte11" dataDxfId="1907" totalsRowDxfId="1906"/>
    <tableColumn id="10" xr3:uid="{00000000-0010-0000-0100-00000A000000}" name="Spalte12" dataDxfId="1905" totalsRowDxfId="1904"/>
    <tableColumn id="11" xr3:uid="{00000000-0010-0000-0100-00000B000000}" name="Spalte13" dataDxfId="1903" totalsRowDxfId="1902"/>
    <tableColumn id="12" xr3:uid="{00000000-0010-0000-0100-00000C000000}" name="Spalte14" dataDxfId="1901" totalsRowDxfId="1900"/>
    <tableColumn id="13" xr3:uid="{00000000-0010-0000-0100-00000D000000}" name="Spalte15" dataDxfId="1899" totalsRowDxfId="1898"/>
    <tableColumn id="14" xr3:uid="{00000000-0010-0000-0100-00000E000000}" name="Spalte16" dataDxfId="1897" totalsRowDxfId="1896"/>
    <tableColumn id="15" xr3:uid="{00000000-0010-0000-0100-00000F000000}" name="Spalte17" dataDxfId="1895" totalsRowDxfId="1894"/>
    <tableColumn id="16" xr3:uid="{00000000-0010-0000-0100-000010000000}" name="Spalte18" dataDxfId="1893" totalsRowDxfId="1892"/>
    <tableColumn id="17" xr3:uid="{00000000-0010-0000-0100-000011000000}" name="Spalte19" dataDxfId="1891" totalsRowDxfId="1890"/>
    <tableColumn id="18" xr3:uid="{00000000-0010-0000-0100-000012000000}" name="Spalte20" dataDxfId="1889" totalsRowDxfId="1888"/>
    <tableColumn id="19" xr3:uid="{00000000-0010-0000-0100-000013000000}" name="Spalte21" dataDxfId="1887" totalsRowDxfId="1886"/>
    <tableColumn id="20" xr3:uid="{00000000-0010-0000-0100-000014000000}" name="Spalte22" dataDxfId="1885" totalsRowDxfId="1884"/>
    <tableColumn id="21" xr3:uid="{00000000-0010-0000-0100-000015000000}" name="Spalte23" dataDxfId="1883" totalsRowDxfId="1882"/>
    <tableColumn id="22" xr3:uid="{00000000-0010-0000-0100-000016000000}" name="Spalte24" dataDxfId="1881" totalsRowDxfId="1880"/>
    <tableColumn id="23" xr3:uid="{00000000-0010-0000-0100-000017000000}" name="Spalte25" dataDxfId="1879" totalsRowDxfId="1878"/>
    <tableColumn id="24" xr3:uid="{00000000-0010-0000-0100-000018000000}" name="Spalte26" dataDxfId="1877" totalsRowDxfId="1876"/>
    <tableColumn id="25" xr3:uid="{00000000-0010-0000-0100-000019000000}" name="Spalte27" dataDxfId="1875" totalsRowDxfId="1874"/>
    <tableColumn id="26" xr3:uid="{00000000-0010-0000-0100-00001A000000}" name="Spalte28" dataDxfId="1873" totalsRowDxfId="1872"/>
    <tableColumn id="27" xr3:uid="{00000000-0010-0000-0100-00001B000000}" name="Spalte29" dataDxfId="1871" totalsRowDxfId="1870"/>
    <tableColumn id="28" xr3:uid="{00000000-0010-0000-0100-00001C000000}" name="Spalte30" dataDxfId="1869" totalsRowDxfId="1868"/>
    <tableColumn id="29" xr3:uid="{00000000-0010-0000-0100-00001D000000}" name="Spalte31" dataDxfId="1867" totalsRowDxfId="1866"/>
    <tableColumn id="30" xr3:uid="{00000000-0010-0000-0100-00001E000000}" name="Spalte32" dataDxfId="1865" totalsRowDxfId="1864"/>
    <tableColumn id="31" xr3:uid="{00000000-0010-0000-0100-00001F000000}" name="Spalte33" dataDxfId="1863" totalsRowDxfId="1862"/>
    <tableColumn id="32" xr3:uid="{00000000-0010-0000-0100-000020000000}" name="Spalte34" dataDxfId="1861" totalsRowDxfId="1860"/>
    <tableColumn id="33" xr3:uid="{00000000-0010-0000-0100-000021000000}" name="Spalte35" dataDxfId="1859" totalsRowDxfId="1858"/>
    <tableColumn id="34" xr3:uid="{00000000-0010-0000-0100-000022000000}" name="Spalte36" dataDxfId="1857" totalsRowDxfId="1856"/>
    <tableColumn id="35" xr3:uid="{00000000-0010-0000-0100-000023000000}" name="Spalte37" dataDxfId="1855" totalsRowDxfId="1854"/>
    <tableColumn id="36" xr3:uid="{00000000-0010-0000-0100-000024000000}" name="Spalte38" dataDxfId="1853" totalsRowDxfId="1852"/>
    <tableColumn id="37" xr3:uid="{00000000-0010-0000-0100-000025000000}" name="Spalte39" dataDxfId="1851" totalsRowDxfId="1850"/>
    <tableColumn id="38" xr3:uid="{00000000-0010-0000-0100-000026000000}" name="Spalte40" dataDxfId="1849" totalsRowDxfId="1848"/>
    <tableColumn id="39" xr3:uid="{00000000-0010-0000-0100-000027000000}" name="Spalte41" dataDxfId="1847" totalsRowDxfId="1846"/>
    <tableColumn id="40" xr3:uid="{00000000-0010-0000-0100-000028000000}" name="Spalte42" dataDxfId="1845" totalsRowDxfId="1844"/>
    <tableColumn id="41" xr3:uid="{00000000-0010-0000-0100-000029000000}" name="Spalte43" dataDxfId="1843" totalsRowDxfId="1842"/>
    <tableColumn id="42" xr3:uid="{00000000-0010-0000-0100-00002A000000}" name="Spalte44" dataDxfId="1841" totalsRowDxfId="1840"/>
    <tableColumn id="43" xr3:uid="{00000000-0010-0000-0100-00002B000000}" name="Spalte45" dataDxfId="1839" totalsRowDxfId="1838"/>
    <tableColumn id="44" xr3:uid="{00000000-0010-0000-0100-00002C000000}" name="Spalte46" dataDxfId="1837" totalsRowDxfId="1836"/>
    <tableColumn id="45" xr3:uid="{00000000-0010-0000-0100-00002D000000}" name="Spalte47" dataDxfId="1835" totalsRowDxfId="1834"/>
    <tableColumn id="46" xr3:uid="{00000000-0010-0000-0100-00002E000000}" name="Spalte48" dataDxfId="1833" totalsRowDxfId="1832"/>
    <tableColumn id="47" xr3:uid="{00000000-0010-0000-0100-00002F000000}" name="Spalte49" dataDxfId="1831" totalsRowDxfId="1830"/>
    <tableColumn id="48" xr3:uid="{00000000-0010-0000-0100-000030000000}" name="Spalte50" dataDxfId="1829" totalsRowDxfId="1828"/>
    <tableColumn id="49" xr3:uid="{00000000-0010-0000-0100-000031000000}" name="Spalte51" dataDxfId="1827" totalsRowDxfId="1826"/>
    <tableColumn id="50" xr3:uid="{00000000-0010-0000-0100-000032000000}" name="Spalte52" dataDxfId="1825" totalsRowDxfId="1824"/>
    <tableColumn id="51" xr3:uid="{00000000-0010-0000-0100-000033000000}" name="Spalte53" dataDxfId="1823" totalsRowDxfId="1822"/>
    <tableColumn id="52" xr3:uid="{00000000-0010-0000-0100-000034000000}" name="Spalte54" dataDxfId="1821" totalsRowDxfId="1820"/>
    <tableColumn id="53" xr3:uid="{00000000-0010-0000-0100-000035000000}" name="Spalte55" dataDxfId="1819" totalsRowDxfId="1818"/>
    <tableColumn id="54" xr3:uid="{00000000-0010-0000-0100-000036000000}" name="Spalte56" dataDxfId="1817" totalsRowDxfId="1816"/>
    <tableColumn id="55" xr3:uid="{00000000-0010-0000-0100-000037000000}" name="Spalte57" dataDxfId="1815" totalsRowDxfId="1814"/>
    <tableColumn id="56" xr3:uid="{00000000-0010-0000-0100-000038000000}" name="Spalte58" dataDxfId="1813" totalsRowDxfId="1812"/>
    <tableColumn id="57" xr3:uid="{00000000-0010-0000-0100-000039000000}" name="Spalte59" dataDxfId="1811" totalsRowDxfId="1810"/>
    <tableColumn id="58" xr3:uid="{00000000-0010-0000-0100-00003A000000}" name="Spalte60" dataDxfId="1809" totalsRowDxfId="1808"/>
    <tableColumn id="59" xr3:uid="{00000000-0010-0000-0100-00003B000000}" name="Spalte61" dataDxfId="1807" totalsRowDxfId="1806"/>
    <tableColumn id="60" xr3:uid="{00000000-0010-0000-0100-00003C000000}" name="Spalte62" dataDxfId="1805" totalsRowDxfId="1804"/>
    <tableColumn id="61" xr3:uid="{00000000-0010-0000-0100-00003D000000}" name="Spalte63" dataDxfId="1803" totalsRowDxfId="1802"/>
    <tableColumn id="62" xr3:uid="{00000000-0010-0000-0100-00003E000000}" name="Spalte64" dataDxfId="1801" totalsRowDxfId="1800"/>
    <tableColumn id="63" xr3:uid="{00000000-0010-0000-0100-00003F000000}" name="Spalte65" dataDxfId="1799" totalsRowDxfId="1798"/>
    <tableColumn id="64" xr3:uid="{00000000-0010-0000-0100-000040000000}" name="Spalte66" dataDxfId="1797" totalsRowDxfId="1796"/>
    <tableColumn id="65" xr3:uid="{00000000-0010-0000-0100-000041000000}" name="Spalte67" dataDxfId="1795" totalsRowDxfId="1794"/>
    <tableColumn id="66" xr3:uid="{00000000-0010-0000-0100-000042000000}" name="Spalte68" dataDxfId="1793" totalsRowDxfId="1792"/>
    <tableColumn id="67" xr3:uid="{00000000-0010-0000-0100-000043000000}" name="Spalte69" dataDxfId="1791" totalsRowDxfId="1790"/>
    <tableColumn id="68" xr3:uid="{00000000-0010-0000-0100-000044000000}" name="Spalte70" dataDxfId="1789" totalsRowDxfId="1788"/>
    <tableColumn id="69" xr3:uid="{00000000-0010-0000-0100-000045000000}" name="Spalte71" dataDxfId="1787" totalsRowDxfId="1786"/>
    <tableColumn id="70" xr3:uid="{00000000-0010-0000-0100-000046000000}" name="Spalte72" dataDxfId="1785" totalsRowDxfId="1784"/>
    <tableColumn id="71" xr3:uid="{00000000-0010-0000-0100-000047000000}" name="Spalte73" dataDxfId="1783" totalsRowDxfId="1782"/>
    <tableColumn id="72" xr3:uid="{00000000-0010-0000-0100-000048000000}" name="Spalte74" dataDxfId="1781" totalsRowDxfId="1780"/>
    <tableColumn id="73" xr3:uid="{00000000-0010-0000-0100-000049000000}" name="Spalte75" dataDxfId="1779" totalsRowDxfId="1778"/>
    <tableColumn id="74" xr3:uid="{00000000-0010-0000-0100-00004A000000}" name="Spalte76" dataDxfId="1777" totalsRowDxfId="1776"/>
    <tableColumn id="75" xr3:uid="{00000000-0010-0000-0100-00004B000000}" name="Spalte77" dataDxfId="1775" totalsRowDxfId="1774"/>
    <tableColumn id="76" xr3:uid="{00000000-0010-0000-0100-00004C000000}" name="Spalte78" dataDxfId="1773" totalsRowDxfId="1772"/>
    <tableColumn id="77" xr3:uid="{00000000-0010-0000-0100-00004D000000}" name="Spalte79" dataDxfId="1771" totalsRowDxfId="1770"/>
    <tableColumn id="78" xr3:uid="{00000000-0010-0000-0100-00004E000000}" name="Spalte80" dataDxfId="1769" totalsRowDxfId="1768"/>
    <tableColumn id="79" xr3:uid="{00000000-0010-0000-0100-00004F000000}" name="Spalte81" dataDxfId="1767" totalsRowDxfId="1766"/>
    <tableColumn id="80" xr3:uid="{00000000-0010-0000-0100-000050000000}" name="Spalte82" dataDxfId="1765" totalsRowDxfId="1764"/>
    <tableColumn id="81" xr3:uid="{00000000-0010-0000-0100-000051000000}" name="Spalte83" dataDxfId="1763" totalsRowDxfId="1762"/>
    <tableColumn id="82" xr3:uid="{00000000-0010-0000-0100-000052000000}" name="Spalte84" dataDxfId="1761" totalsRowDxfId="1760"/>
    <tableColumn id="83" xr3:uid="{00000000-0010-0000-0100-000053000000}" name="Spalte85" dataDxfId="1759" totalsRowDxfId="1758"/>
    <tableColumn id="84" xr3:uid="{00000000-0010-0000-0100-000054000000}" name="Spalte86" dataDxfId="1757" totalsRowDxfId="1756"/>
    <tableColumn id="85" xr3:uid="{00000000-0010-0000-0100-000055000000}" name="Spalte87" dataDxfId="1755" totalsRowDxfId="1754"/>
    <tableColumn id="86" xr3:uid="{00000000-0010-0000-0100-000056000000}" name="Spalte88" dataDxfId="1753" totalsRowDxfId="1752"/>
    <tableColumn id="87" xr3:uid="{00000000-0010-0000-0100-000057000000}" name="Spalte89" dataDxfId="1751" totalsRowDxfId="1750"/>
    <tableColumn id="88" xr3:uid="{00000000-0010-0000-0100-000058000000}" name="Spalte90" dataDxfId="1749" totalsRowDxfId="1748"/>
    <tableColumn id="89" xr3:uid="{00000000-0010-0000-0100-000059000000}" name="Spalte91" dataDxfId="1747" totalsRowDxfId="1746"/>
    <tableColumn id="90" xr3:uid="{00000000-0010-0000-0100-00005A000000}" name="Spalte92" dataDxfId="1745" totalsRowDxfId="1744"/>
    <tableColumn id="91" xr3:uid="{00000000-0010-0000-0100-00005B000000}" name="Spalte93" dataDxfId="1743" totalsRowDxfId="1742"/>
    <tableColumn id="92" xr3:uid="{00000000-0010-0000-0100-00005C000000}" name="Spalte94" dataDxfId="1741" totalsRowDxfId="1740"/>
    <tableColumn id="93" xr3:uid="{00000000-0010-0000-0100-00005D000000}" name="Spalte95" dataDxfId="1739" totalsRowDxfId="1738"/>
    <tableColumn id="94" xr3:uid="{00000000-0010-0000-0100-00005E000000}" name="Spalte96" dataDxfId="1737" totalsRowDxfId="1736"/>
    <tableColumn id="95" xr3:uid="{00000000-0010-0000-0100-00005F000000}" name="Spalte97" dataDxfId="1735" totalsRowDxfId="1734"/>
    <tableColumn id="96" xr3:uid="{00000000-0010-0000-0100-000060000000}" name="Spalte98" dataDxfId="1733" totalsRowDxfId="1732"/>
    <tableColumn id="97" xr3:uid="{00000000-0010-0000-0100-000061000000}" name="Spalte99" dataDxfId="1731" totalsRowDxfId="1730"/>
    <tableColumn id="98" xr3:uid="{00000000-0010-0000-0100-000062000000}" name="Spalte100" dataDxfId="1729" totalsRowDxfId="1728"/>
    <tableColumn id="99" xr3:uid="{00000000-0010-0000-0100-000063000000}" name="Spalte101" dataDxfId="1727" totalsRowDxfId="1726"/>
    <tableColumn id="100" xr3:uid="{00000000-0010-0000-0100-000064000000}" name="Spalte102" dataDxfId="1725" totalsRowDxfId="1724"/>
    <tableColumn id="101" xr3:uid="{00000000-0010-0000-0100-000065000000}" name="Spalte103" dataDxfId="1723" totalsRowDxfId="1722"/>
    <tableColumn id="102" xr3:uid="{00000000-0010-0000-0100-000066000000}" name="Spalte104" dataDxfId="1721" totalsRowDxfId="1720"/>
    <tableColumn id="103" xr3:uid="{00000000-0010-0000-0100-000067000000}" name="Spalte105" dataDxfId="1719" totalsRowDxfId="1718"/>
    <tableColumn id="104" xr3:uid="{00000000-0010-0000-0100-000068000000}" name="Spalte106" dataDxfId="1717" totalsRowDxfId="1716"/>
    <tableColumn id="105" xr3:uid="{00000000-0010-0000-0100-000069000000}" name="Spalte107" dataDxfId="1715" totalsRowDxfId="1714"/>
    <tableColumn id="106" xr3:uid="{00000000-0010-0000-0100-00006A000000}" name="Spalte108" dataDxfId="1713" totalsRowDxfId="1712"/>
    <tableColumn id="107" xr3:uid="{00000000-0010-0000-0100-00006B000000}" name="Spalte109" dataDxfId="1711" totalsRowDxfId="1710"/>
    <tableColumn id="108" xr3:uid="{00000000-0010-0000-0100-00006C000000}" name="Spalte110" dataDxfId="1709" totalsRowDxfId="1708"/>
    <tableColumn id="109" xr3:uid="{00000000-0010-0000-0100-00006D000000}" name="Spalte111" dataDxfId="1707" totalsRowDxfId="1706"/>
    <tableColumn id="110" xr3:uid="{00000000-0010-0000-0100-00006E000000}" name="Spalte112" dataDxfId="1705" totalsRowDxfId="1704"/>
    <tableColumn id="111" xr3:uid="{00000000-0010-0000-0100-00006F000000}" name="Spalte113" dataDxfId="1703" totalsRowDxfId="1702"/>
    <tableColumn id="112" xr3:uid="{00000000-0010-0000-0100-000070000000}" name="Spalte114" dataDxfId="1701" totalsRowDxfId="1700"/>
    <tableColumn id="113" xr3:uid="{00000000-0010-0000-0100-000071000000}" name="Spalte115" dataDxfId="1699" totalsRowDxfId="1698"/>
    <tableColumn id="114" xr3:uid="{00000000-0010-0000-0100-000072000000}" name="Spalte116" dataDxfId="1697" totalsRowDxfId="1696"/>
    <tableColumn id="115" xr3:uid="{00000000-0010-0000-0100-000073000000}" name="Spalte117" dataDxfId="1695" totalsRowDxfId="1694"/>
    <tableColumn id="116" xr3:uid="{00000000-0010-0000-0100-000074000000}" name="Spalte118" dataDxfId="1693" totalsRowDxfId="1692"/>
    <tableColumn id="117" xr3:uid="{00000000-0010-0000-0100-000075000000}" name="Spalte119" dataDxfId="1691" totalsRowDxfId="1690"/>
    <tableColumn id="118" xr3:uid="{00000000-0010-0000-0100-000076000000}" name="Spalte120" dataDxfId="1689" totalsRowDxfId="1688"/>
    <tableColumn id="119" xr3:uid="{00000000-0010-0000-0100-000077000000}" name="Spalte121" dataDxfId="1687" totalsRowDxfId="1686"/>
    <tableColumn id="120" xr3:uid="{00000000-0010-0000-0100-000078000000}" name="Spalte122" dataDxfId="1685" totalsRowDxfId="1684"/>
    <tableColumn id="121" xr3:uid="{00000000-0010-0000-0100-000079000000}" name="Spalte123" dataDxfId="1683" totalsRowDxfId="1682"/>
    <tableColumn id="122" xr3:uid="{00000000-0010-0000-0100-00007A000000}" name="Spalte124" dataDxfId="1681" totalsRowDxfId="1680"/>
    <tableColumn id="123" xr3:uid="{00000000-0010-0000-0100-00007B000000}" name="Spalte125" dataDxfId="1679" totalsRowDxfId="1678"/>
    <tableColumn id="124" xr3:uid="{00000000-0010-0000-0100-00007C000000}" name="Spalte126" dataDxfId="1677" totalsRowDxfId="1676"/>
    <tableColumn id="125" xr3:uid="{00000000-0010-0000-0100-00007D000000}" name="Spalte127" dataDxfId="1675" totalsRowDxfId="1674"/>
    <tableColumn id="126" xr3:uid="{00000000-0010-0000-0100-00007E000000}" name="Spalte128" dataDxfId="1673" totalsRowDxfId="1672"/>
    <tableColumn id="127" xr3:uid="{00000000-0010-0000-0100-00007F000000}" name="Spalte129" dataDxfId="1671" totalsRowDxfId="1670"/>
    <tableColumn id="128" xr3:uid="{00000000-0010-0000-0100-000080000000}" name="Spalte130" dataDxfId="1669" totalsRowDxfId="1668"/>
    <tableColumn id="129" xr3:uid="{00000000-0010-0000-0100-000081000000}" name="Spalte131" dataDxfId="1667" totalsRowDxfId="1666"/>
    <tableColumn id="130" xr3:uid="{00000000-0010-0000-0100-000082000000}" name="Spalte132" dataDxfId="1665" totalsRowDxfId="1664"/>
    <tableColumn id="131" xr3:uid="{00000000-0010-0000-0100-000083000000}" name="Spalte133" dataDxfId="1663" totalsRowDxfId="1662"/>
    <tableColumn id="132" xr3:uid="{00000000-0010-0000-0100-000084000000}" name="Spalte134" dataDxfId="1661" totalsRowDxfId="1660"/>
    <tableColumn id="133" xr3:uid="{00000000-0010-0000-0100-000085000000}" name="Spalte135" dataDxfId="1659" totalsRowDxfId="1658"/>
    <tableColumn id="134" xr3:uid="{00000000-0010-0000-0100-000086000000}" name="Spalte136" dataDxfId="1657" totalsRowDxfId="1656"/>
    <tableColumn id="135" xr3:uid="{00000000-0010-0000-0100-000087000000}" name="Spalte137" dataDxfId="1655" totalsRowDxfId="1654"/>
    <tableColumn id="136" xr3:uid="{00000000-0010-0000-0100-000088000000}" name="Spalte138" dataDxfId="1653" totalsRowDxfId="1652"/>
    <tableColumn id="137" xr3:uid="{00000000-0010-0000-0100-000089000000}" name="Spalte139" dataDxfId="1651" totalsRowDxfId="1650"/>
    <tableColumn id="138" xr3:uid="{00000000-0010-0000-0100-00008A000000}" name="Spalte140" dataDxfId="1649" totalsRowDxfId="1648"/>
    <tableColumn id="139" xr3:uid="{00000000-0010-0000-0100-00008B000000}" name="Spalte141" dataDxfId="1647" totalsRowDxfId="1646"/>
    <tableColumn id="140" xr3:uid="{00000000-0010-0000-0100-00008C000000}" name="Spalte142" dataDxfId="1645" totalsRowDxfId="1644"/>
    <tableColumn id="141" xr3:uid="{00000000-0010-0000-0100-00008D000000}" name="Spalte143" dataDxfId="1643" totalsRowDxfId="1642"/>
    <tableColumn id="142" xr3:uid="{00000000-0010-0000-0100-00008E000000}" name="Spalte144" dataDxfId="1641" totalsRowDxfId="1640"/>
    <tableColumn id="143" xr3:uid="{00000000-0010-0000-0100-00008F000000}" name="Spalte145" dataDxfId="1639" totalsRowDxfId="1638"/>
    <tableColumn id="144" xr3:uid="{00000000-0010-0000-0100-000090000000}" name="Spalte146" dataDxfId="1637" totalsRowDxfId="1636"/>
    <tableColumn id="145" xr3:uid="{00000000-0010-0000-0100-000091000000}" name="Spalte147" dataDxfId="1635" totalsRowDxfId="1634"/>
    <tableColumn id="146" xr3:uid="{00000000-0010-0000-0100-000092000000}" name="Spalte148" dataDxfId="1633" totalsRowDxfId="1632"/>
    <tableColumn id="147" xr3:uid="{00000000-0010-0000-0100-000093000000}" name="Spalte149" dataDxfId="1631" totalsRowDxfId="1630"/>
    <tableColumn id="148" xr3:uid="{00000000-0010-0000-0100-000094000000}" name="Spalte150" dataDxfId="1629" totalsRowDxfId="1628"/>
    <tableColumn id="149" xr3:uid="{00000000-0010-0000-0100-000095000000}" name="Spalte151" dataDxfId="1627" totalsRowDxfId="1626"/>
    <tableColumn id="150" xr3:uid="{00000000-0010-0000-0100-000096000000}" name="Spalte152" dataDxfId="1625" totalsRowDxfId="1624"/>
    <tableColumn id="151" xr3:uid="{00000000-0010-0000-0100-000097000000}" name="Spalte153" dataDxfId="1623" totalsRowDxfId="1622"/>
    <tableColumn id="152" xr3:uid="{00000000-0010-0000-0100-000098000000}" name="Spalte154" dataDxfId="1621" totalsRowDxfId="1620"/>
    <tableColumn id="153" xr3:uid="{00000000-0010-0000-0100-000099000000}" name="Spalte155" dataDxfId="1619" totalsRowDxfId="1618"/>
    <tableColumn id="154" xr3:uid="{00000000-0010-0000-0100-00009A000000}" name="Spalte156" dataDxfId="1617" totalsRowDxfId="1616"/>
    <tableColumn id="155" xr3:uid="{00000000-0010-0000-0100-00009B000000}" name="Spalte157" dataDxfId="1615" totalsRowDxfId="1614"/>
    <tableColumn id="156" xr3:uid="{00000000-0010-0000-0100-00009C000000}" name="Spalte158" dataDxfId="1613" totalsRowDxfId="1612"/>
    <tableColumn id="157" xr3:uid="{00000000-0010-0000-0100-00009D000000}" name="Spalte159" dataDxfId="1611" totalsRowDxfId="1610"/>
    <tableColumn id="158" xr3:uid="{00000000-0010-0000-0100-00009E000000}" name="Spalte160" dataDxfId="1609" totalsRowDxfId="1608"/>
    <tableColumn id="159" xr3:uid="{00000000-0010-0000-0100-00009F000000}" name="Spalte161" dataDxfId="1607" totalsRowDxfId="1606"/>
    <tableColumn id="160" xr3:uid="{00000000-0010-0000-0100-0000A0000000}" name="Spalte162" dataDxfId="1605" totalsRowDxfId="1604"/>
    <tableColumn id="161" xr3:uid="{00000000-0010-0000-0100-0000A1000000}" name="Spalte163" dataDxfId="1603" totalsRowDxfId="1602"/>
    <tableColumn id="162" xr3:uid="{00000000-0010-0000-0100-0000A2000000}" name="Spalte164" dataDxfId="1601" totalsRowDxfId="1600"/>
    <tableColumn id="163" xr3:uid="{00000000-0010-0000-0100-0000A3000000}" name="Spalte165" dataDxfId="1599" totalsRowDxfId="1598"/>
    <tableColumn id="164" xr3:uid="{00000000-0010-0000-0100-0000A4000000}" name="Spalte166" dataDxfId="1597" totalsRowDxfId="1596"/>
    <tableColumn id="165" xr3:uid="{00000000-0010-0000-0100-0000A5000000}" name="Spalte167" dataDxfId="1595" totalsRowDxfId="1594"/>
    <tableColumn id="166" xr3:uid="{00000000-0010-0000-0100-0000A6000000}" name="Spalte168" dataDxfId="1593" totalsRowDxfId="1592"/>
    <tableColumn id="167" xr3:uid="{00000000-0010-0000-0100-0000A7000000}" name="Spalte169" dataDxfId="1591" totalsRowDxfId="1590"/>
    <tableColumn id="168" xr3:uid="{00000000-0010-0000-0100-0000A8000000}" name="Spalte170" dataDxfId="1589" totalsRowDxfId="1588"/>
    <tableColumn id="169" xr3:uid="{00000000-0010-0000-0100-0000A9000000}" name="Spalte171" dataDxfId="1587" totalsRowDxfId="1586"/>
    <tableColumn id="170" xr3:uid="{00000000-0010-0000-0100-0000AA000000}" name="Spalte172" dataDxfId="1585" totalsRowDxfId="1584"/>
    <tableColumn id="171" xr3:uid="{00000000-0010-0000-0100-0000AB000000}" name="Spalte173" dataDxfId="1583" totalsRowDxfId="1582"/>
    <tableColumn id="172" xr3:uid="{00000000-0010-0000-0100-0000AC000000}" name="Spalte174" dataDxfId="1581" totalsRowDxfId="1580"/>
    <tableColumn id="173" xr3:uid="{00000000-0010-0000-0100-0000AD000000}" name="Spalte175" dataDxfId="1579" totalsRowDxfId="1578"/>
    <tableColumn id="174" xr3:uid="{00000000-0010-0000-0100-0000AE000000}" name="Spalte176" dataDxfId="1577" totalsRowDxfId="1576"/>
    <tableColumn id="175" xr3:uid="{00000000-0010-0000-0100-0000AF000000}" name="Spalte177" dataDxfId="1575" totalsRowDxfId="1574"/>
    <tableColumn id="176" xr3:uid="{00000000-0010-0000-0100-0000B0000000}" name="Spalte178" dataDxfId="1573" totalsRowDxfId="1572"/>
    <tableColumn id="177" xr3:uid="{00000000-0010-0000-0100-0000B1000000}" name="Spalte179" dataDxfId="1571" totalsRowDxfId="1570"/>
    <tableColumn id="178" xr3:uid="{00000000-0010-0000-0100-0000B2000000}" name="Spalte180" dataDxfId="1569" totalsRowDxfId="1568"/>
    <tableColumn id="179" xr3:uid="{00000000-0010-0000-0100-0000B3000000}" name="Spalte181" dataDxfId="1567" totalsRowDxfId="1566"/>
    <tableColumn id="180" xr3:uid="{00000000-0010-0000-0100-0000B4000000}" name="Spalte182" dataDxfId="1565" totalsRowDxfId="1564"/>
    <tableColumn id="181" xr3:uid="{00000000-0010-0000-0100-0000B5000000}" name="Spalte183" dataDxfId="1563" totalsRowDxfId="1562"/>
    <tableColumn id="182" xr3:uid="{00000000-0010-0000-0100-0000B6000000}" name="Spalte184" dataDxfId="1561" totalsRowDxfId="1560"/>
    <tableColumn id="183" xr3:uid="{00000000-0010-0000-0100-0000B7000000}" name="Spalte185" dataDxfId="1559" totalsRowDxfId="1558"/>
    <tableColumn id="184" xr3:uid="{00000000-0010-0000-0100-0000B8000000}" name="Spalte186" dataDxfId="1557" totalsRowDxfId="1556"/>
    <tableColumn id="185" xr3:uid="{00000000-0010-0000-0100-0000B9000000}" name="Spalte187" dataDxfId="1555" totalsRowDxfId="1554"/>
    <tableColumn id="186" xr3:uid="{00000000-0010-0000-0100-0000BA000000}" name="Spalte188" dataDxfId="1553" totalsRowDxfId="1552"/>
    <tableColumn id="187" xr3:uid="{00000000-0010-0000-0100-0000BB000000}" name="Spalte189" dataDxfId="1551" totalsRowDxfId="1550"/>
    <tableColumn id="188" xr3:uid="{00000000-0010-0000-0100-0000BC000000}" name="Spalte190" dataDxfId="1549" totalsRowDxfId="1548"/>
    <tableColumn id="189" xr3:uid="{00000000-0010-0000-0100-0000BD000000}" name="Spalte191" dataDxfId="1547" totalsRowDxfId="1546"/>
    <tableColumn id="190" xr3:uid="{00000000-0010-0000-0100-0000BE000000}" name="Spalte192" dataDxfId="1545" totalsRowDxfId="1544"/>
    <tableColumn id="191" xr3:uid="{00000000-0010-0000-0100-0000BF000000}" name="Spalte193" dataDxfId="1543" totalsRowDxfId="1542"/>
    <tableColumn id="192" xr3:uid="{00000000-0010-0000-0100-0000C0000000}" name="Spalte194" dataDxfId="1541" totalsRowDxfId="1540"/>
    <tableColumn id="193" xr3:uid="{00000000-0010-0000-0100-0000C1000000}" name="Spalte195" dataDxfId="1539" totalsRowDxfId="1538"/>
    <tableColumn id="194" xr3:uid="{00000000-0010-0000-0100-0000C2000000}" name="Spalte196" dataDxfId="1537" totalsRowDxfId="1536"/>
    <tableColumn id="195" xr3:uid="{00000000-0010-0000-0100-0000C3000000}" name="Spalte197" dataDxfId="1535" totalsRowDxfId="1534"/>
    <tableColumn id="196" xr3:uid="{00000000-0010-0000-0100-0000C4000000}" name="Spalte198" dataDxfId="1533" totalsRowDxfId="1532"/>
    <tableColumn id="197" xr3:uid="{00000000-0010-0000-0100-0000C5000000}" name="Spalte199" dataDxfId="1531" totalsRowDxfId="1530"/>
    <tableColumn id="198" xr3:uid="{00000000-0010-0000-0100-0000C6000000}" name="Spalte200" dataDxfId="1529" totalsRowDxfId="1528"/>
    <tableColumn id="199" xr3:uid="{00000000-0010-0000-0100-0000C7000000}" name="Spalte201" dataDxfId="1527" totalsRowDxfId="1526"/>
    <tableColumn id="200" xr3:uid="{00000000-0010-0000-0100-0000C8000000}" name="Spalte202" dataDxfId="1525" totalsRowDxfId="1524"/>
    <tableColumn id="201" xr3:uid="{00000000-0010-0000-0100-0000C9000000}" name="Spalte203" dataDxfId="1523" totalsRowDxfId="1522"/>
    <tableColumn id="202" xr3:uid="{00000000-0010-0000-0100-0000CA000000}" name="Spalte204" dataDxfId="1521" totalsRowDxfId="1520"/>
    <tableColumn id="203" xr3:uid="{00000000-0010-0000-0100-0000CB000000}" name="Spalte205" dataDxfId="1519" totalsRowDxfId="1518"/>
    <tableColumn id="204" xr3:uid="{00000000-0010-0000-0100-0000CC000000}" name="Spalte206" dataDxfId="1517" totalsRowDxfId="1516"/>
    <tableColumn id="205" xr3:uid="{00000000-0010-0000-0100-0000CD000000}" name="Spalte207" dataDxfId="1515" totalsRowDxfId="1514"/>
    <tableColumn id="206" xr3:uid="{00000000-0010-0000-0100-0000CE000000}" name="Spalte208" dataDxfId="1513" totalsRowDxfId="1512"/>
    <tableColumn id="207" xr3:uid="{00000000-0010-0000-0100-0000CF000000}" name="Spalte209" dataDxfId="1511" totalsRowDxfId="1510"/>
    <tableColumn id="208" xr3:uid="{00000000-0010-0000-0100-0000D0000000}" name="Spalte210" dataDxfId="1509" totalsRowDxfId="1508"/>
    <tableColumn id="209" xr3:uid="{00000000-0010-0000-0100-0000D1000000}" name="Spalte211" dataDxfId="1507" totalsRowDxfId="1506"/>
    <tableColumn id="210" xr3:uid="{00000000-0010-0000-0100-0000D2000000}" name="Spalte212" dataDxfId="1505" totalsRowDxfId="1504"/>
    <tableColumn id="211" xr3:uid="{00000000-0010-0000-0100-0000D3000000}" name="Spalte213" dataDxfId="1503" totalsRowDxfId="1502"/>
    <tableColumn id="212" xr3:uid="{00000000-0010-0000-0100-0000D4000000}" name="Spalte214" dataDxfId="1501" totalsRowDxfId="1500"/>
    <tableColumn id="213" xr3:uid="{00000000-0010-0000-0100-0000D5000000}" name="Spalte215" dataDxfId="1499" totalsRowDxfId="1498"/>
    <tableColumn id="214" xr3:uid="{00000000-0010-0000-0100-0000D6000000}" name="Spalte216" dataDxfId="1497" totalsRowDxfId="1496"/>
    <tableColumn id="215" xr3:uid="{00000000-0010-0000-0100-0000D7000000}" name="Spalte217" dataDxfId="1495" totalsRowDxfId="1494"/>
    <tableColumn id="216" xr3:uid="{00000000-0010-0000-0100-0000D8000000}" name="Spalte218" dataDxfId="1493" totalsRowDxfId="1492"/>
    <tableColumn id="217" xr3:uid="{00000000-0010-0000-0100-0000D9000000}" name="Spalte219" dataDxfId="1491" totalsRowDxfId="1490"/>
    <tableColumn id="218" xr3:uid="{00000000-0010-0000-0100-0000DA000000}" name="Spalte220" dataDxfId="1489" totalsRowDxfId="1488"/>
    <tableColumn id="219" xr3:uid="{00000000-0010-0000-0100-0000DB000000}" name="Spalte221" dataDxfId="1487" totalsRowDxfId="1486"/>
    <tableColumn id="220" xr3:uid="{00000000-0010-0000-0100-0000DC000000}" name="Spalte222" dataDxfId="1485" totalsRowDxfId="1484"/>
    <tableColumn id="221" xr3:uid="{00000000-0010-0000-0100-0000DD000000}" name="Spalte223" dataDxfId="1483" totalsRowDxfId="1482"/>
    <tableColumn id="222" xr3:uid="{00000000-0010-0000-0100-0000DE000000}" name="Spalte224" dataDxfId="1481" totalsRowDxfId="1480"/>
    <tableColumn id="223" xr3:uid="{00000000-0010-0000-0100-0000DF000000}" name="Spalte225" dataDxfId="1479" totalsRowDxfId="1478"/>
    <tableColumn id="224" xr3:uid="{00000000-0010-0000-0100-0000E0000000}" name="Spalte226" dataDxfId="1477" totalsRowDxfId="1476"/>
    <tableColumn id="225" xr3:uid="{00000000-0010-0000-0100-0000E1000000}" name="Spalte227" dataDxfId="1475" totalsRowDxfId="1474"/>
    <tableColumn id="226" xr3:uid="{00000000-0010-0000-0100-0000E2000000}" name="Spalte228" dataDxfId="1473" totalsRowDxfId="1472"/>
    <tableColumn id="227" xr3:uid="{00000000-0010-0000-0100-0000E3000000}" name="Spalte229" dataDxfId="1471" totalsRowDxfId="1470"/>
    <tableColumn id="228" xr3:uid="{00000000-0010-0000-0100-0000E4000000}" name="Spalte230" dataDxfId="1469" totalsRowDxfId="1468"/>
    <tableColumn id="229" xr3:uid="{00000000-0010-0000-0100-0000E5000000}" name="Spalte231" dataDxfId="1467" totalsRowDxfId="1466"/>
    <tableColumn id="230" xr3:uid="{00000000-0010-0000-0100-0000E6000000}" name="Spalte232" dataDxfId="1465" totalsRowDxfId="1464"/>
    <tableColumn id="231" xr3:uid="{00000000-0010-0000-0100-0000E7000000}" name="Spalte233" dataDxfId="1463" totalsRowDxfId="1462"/>
    <tableColumn id="232" xr3:uid="{00000000-0010-0000-0100-0000E8000000}" name="Spalte234" dataDxfId="1461" totalsRowDxfId="1460"/>
    <tableColumn id="233" xr3:uid="{00000000-0010-0000-0100-0000E9000000}" name="Spalte235" dataDxfId="1459" totalsRowDxfId="1458"/>
    <tableColumn id="234" xr3:uid="{00000000-0010-0000-0100-0000EA000000}" name="Spalte236" dataDxfId="1457" totalsRowDxfId="1456"/>
    <tableColumn id="235" xr3:uid="{00000000-0010-0000-0100-0000EB000000}" name="Spalte237" dataDxfId="1455" totalsRowDxfId="1454"/>
    <tableColumn id="236" xr3:uid="{00000000-0010-0000-0100-0000EC000000}" name="Spalte238" dataDxfId="1453" totalsRowDxfId="1452"/>
    <tableColumn id="237" xr3:uid="{00000000-0010-0000-0100-0000ED000000}" name="Spalte239" dataDxfId="1451" totalsRowDxfId="1450"/>
    <tableColumn id="238" xr3:uid="{00000000-0010-0000-0100-0000EE000000}" name="Spalte240" dataDxfId="1449" totalsRowDxfId="1448"/>
    <tableColumn id="239" xr3:uid="{00000000-0010-0000-0100-0000EF000000}" name="Spalte241" dataDxfId="1447" totalsRowDxfId="1446"/>
    <tableColumn id="240" xr3:uid="{00000000-0010-0000-0100-0000F0000000}" name="Spalte242" dataDxfId="1445" totalsRowDxfId="1444"/>
    <tableColumn id="241" xr3:uid="{00000000-0010-0000-0100-0000F1000000}" name="Spalte243" dataDxfId="1443" totalsRowDxfId="1442"/>
    <tableColumn id="242" xr3:uid="{00000000-0010-0000-0100-0000F2000000}" name="Spalte244" dataDxfId="1441" totalsRowDxfId="1440"/>
    <tableColumn id="243" xr3:uid="{00000000-0010-0000-0100-0000F3000000}" name="Spalte245" dataDxfId="1439" totalsRowDxfId="1438"/>
    <tableColumn id="244" xr3:uid="{00000000-0010-0000-0100-0000F4000000}" name="Spalte246" dataDxfId="1437" totalsRowDxfId="1436"/>
    <tableColumn id="245" xr3:uid="{00000000-0010-0000-0100-0000F5000000}" name="Spalte247" dataDxfId="1435" totalsRowDxfId="1434"/>
    <tableColumn id="246" xr3:uid="{00000000-0010-0000-0100-0000F6000000}" name="Spalte248" dataDxfId="1433" totalsRowDxfId="1432"/>
    <tableColumn id="247" xr3:uid="{00000000-0010-0000-0100-0000F7000000}" name="Spalte249" dataDxfId="1431" totalsRowDxfId="1430"/>
    <tableColumn id="248" xr3:uid="{00000000-0010-0000-0100-0000F8000000}" name="Spalte250" dataDxfId="1429" totalsRowDxfId="1428"/>
    <tableColumn id="249" xr3:uid="{00000000-0010-0000-0100-0000F9000000}" name="Spalte251" dataDxfId="1427" totalsRowDxfId="1426"/>
    <tableColumn id="250" xr3:uid="{00000000-0010-0000-0100-0000FA000000}" name="Spalte252" dataDxfId="1425" totalsRowDxfId="1424"/>
    <tableColumn id="251" xr3:uid="{00000000-0010-0000-0100-0000FB000000}" name="Spalte253" dataDxfId="1423" totalsRowDxfId="1422"/>
    <tableColumn id="252" xr3:uid="{00000000-0010-0000-0100-0000FC000000}" name="Spalte254" dataDxfId="1421" totalsRowDxfId="1420"/>
    <tableColumn id="253" xr3:uid="{00000000-0010-0000-0100-0000FD000000}" name="Spalte255" dataDxfId="1419" totalsRowDxfId="1418"/>
    <tableColumn id="254" xr3:uid="{00000000-0010-0000-0100-0000FE000000}" name="Spalte256" dataDxfId="1417" totalsRowDxfId="1416"/>
    <tableColumn id="255" xr3:uid="{00000000-0010-0000-0100-0000FF000000}" name="Spalte257" dataDxfId="1415" totalsRowDxfId="1414"/>
    <tableColumn id="256" xr3:uid="{00000000-0010-0000-0100-000000010000}" name="Spalte258" dataDxfId="1413" totalsRowDxfId="1412"/>
    <tableColumn id="257" xr3:uid="{00000000-0010-0000-0100-000001010000}" name="Spalte259" dataDxfId="1411" totalsRowDxfId="1410"/>
    <tableColumn id="258" xr3:uid="{00000000-0010-0000-0100-000002010000}" name="Spalte260" dataDxfId="1409" totalsRowDxfId="1408"/>
    <tableColumn id="259" xr3:uid="{00000000-0010-0000-0100-000003010000}" name="Spalte261" dataDxfId="1407" totalsRowDxfId="1406"/>
    <tableColumn id="260" xr3:uid="{00000000-0010-0000-0100-000004010000}" name="Spalte262" dataDxfId="1405" totalsRowDxfId="1404"/>
    <tableColumn id="261" xr3:uid="{00000000-0010-0000-0100-000005010000}" name="Spalte263" dataDxfId="1403" totalsRowDxfId="1402"/>
    <tableColumn id="262" xr3:uid="{00000000-0010-0000-0100-000006010000}" name="Spalte264" dataDxfId="1401" totalsRowDxfId="1400"/>
    <tableColumn id="263" xr3:uid="{00000000-0010-0000-0100-000007010000}" name="Spalte265" dataDxfId="1399" totalsRowDxfId="1398"/>
    <tableColumn id="264" xr3:uid="{00000000-0010-0000-0100-000008010000}" name="Spalte266" dataDxfId="1397" totalsRowDxfId="1396"/>
    <tableColumn id="265" xr3:uid="{00000000-0010-0000-0100-000009010000}" name="Spalte267" dataDxfId="1395" totalsRowDxfId="1394"/>
    <tableColumn id="266" xr3:uid="{00000000-0010-0000-0100-00000A010000}" name="Spalte268" dataDxfId="1393" totalsRowDxfId="1392"/>
    <tableColumn id="267" xr3:uid="{00000000-0010-0000-0100-00000B010000}" name="Spalte269" dataDxfId="1391" totalsRowDxfId="1390"/>
    <tableColumn id="268" xr3:uid="{00000000-0010-0000-0100-00000C010000}" name="Spalte270" dataDxfId="1389" totalsRowDxfId="1388"/>
    <tableColumn id="269" xr3:uid="{00000000-0010-0000-0100-00000D010000}" name="Spalte271" dataDxfId="1387" totalsRowDxfId="1386"/>
    <tableColumn id="270" xr3:uid="{00000000-0010-0000-0100-00000E010000}" name="Spalte272" dataDxfId="1385" totalsRowDxfId="1384"/>
    <tableColumn id="271" xr3:uid="{00000000-0010-0000-0100-00000F010000}" name="Spalte273" dataDxfId="1383" totalsRowDxfId="1382"/>
    <tableColumn id="272" xr3:uid="{00000000-0010-0000-0100-000010010000}" name="Spalte274" dataDxfId="1381" totalsRowDxfId="1380"/>
    <tableColumn id="273" xr3:uid="{00000000-0010-0000-0100-000011010000}" name="Spalte275" dataDxfId="1379" totalsRowDxfId="1378"/>
    <tableColumn id="274" xr3:uid="{00000000-0010-0000-0100-000012010000}" name="Spalte276" dataDxfId="1377" totalsRowDxfId="1376"/>
    <tableColumn id="275" xr3:uid="{00000000-0010-0000-0100-000013010000}" name="Spalte277" dataDxfId="1375" totalsRowDxfId="1374"/>
    <tableColumn id="276" xr3:uid="{00000000-0010-0000-0100-000014010000}" name="Spalte278" dataDxfId="1373" totalsRowDxfId="1372"/>
    <tableColumn id="277" xr3:uid="{00000000-0010-0000-0100-000015010000}" name="Spalte279" dataDxfId="1371" totalsRowDxfId="1370"/>
    <tableColumn id="278" xr3:uid="{00000000-0010-0000-0100-000016010000}" name="Spalte280" dataDxfId="1369" totalsRowDxfId="1368"/>
    <tableColumn id="279" xr3:uid="{00000000-0010-0000-0100-000017010000}" name="Spalte281" dataDxfId="1367" totalsRowDxfId="1366"/>
    <tableColumn id="280" xr3:uid="{00000000-0010-0000-0100-000018010000}" name="Spalte282" dataDxfId="1365" totalsRowDxfId="1364"/>
    <tableColumn id="281" xr3:uid="{00000000-0010-0000-0100-000019010000}" name="Spalte283" dataDxfId="1363" totalsRowDxfId="1362"/>
    <tableColumn id="282" xr3:uid="{00000000-0010-0000-0100-00001A010000}" name="Spalte284" dataDxfId="1361" totalsRowDxfId="1360"/>
    <tableColumn id="283" xr3:uid="{00000000-0010-0000-0100-00001B010000}" name="Spalte285" dataDxfId="1359" totalsRowDxfId="1358"/>
    <tableColumn id="284" xr3:uid="{00000000-0010-0000-0100-00001C010000}" name="Spalte286" dataDxfId="1357" totalsRowDxfId="1356"/>
    <tableColumn id="285" xr3:uid="{00000000-0010-0000-0100-00001D010000}" name="Spalte287" dataDxfId="1355" totalsRowDxfId="1354"/>
    <tableColumn id="286" xr3:uid="{00000000-0010-0000-0100-00001E010000}" name="Spalte288" dataDxfId="1353" totalsRowDxfId="1352"/>
    <tableColumn id="287" xr3:uid="{00000000-0010-0000-0100-00001F010000}" name="Spalte289" dataDxfId="1351" totalsRowDxfId="1350"/>
    <tableColumn id="288" xr3:uid="{00000000-0010-0000-0100-000020010000}" name="Spalte290" dataDxfId="1349" totalsRowDxfId="1348"/>
    <tableColumn id="289" xr3:uid="{00000000-0010-0000-0100-000021010000}" name="Spalte291" dataDxfId="1347" totalsRowDxfId="1346"/>
    <tableColumn id="290" xr3:uid="{00000000-0010-0000-0100-000022010000}" name="Spalte292" dataDxfId="1345" totalsRowDxfId="1344"/>
    <tableColumn id="291" xr3:uid="{00000000-0010-0000-0100-000023010000}" name="Spalte293" dataDxfId="1343" totalsRowDxfId="1342"/>
    <tableColumn id="292" xr3:uid="{00000000-0010-0000-0100-000024010000}" name="Spalte294" dataDxfId="1341" totalsRowDxfId="1340"/>
    <tableColumn id="293" xr3:uid="{00000000-0010-0000-0100-000025010000}" name="Spalte295" dataDxfId="1339" totalsRowDxfId="1338"/>
    <tableColumn id="294" xr3:uid="{00000000-0010-0000-0100-000026010000}" name="Spalte296" dataDxfId="1337" totalsRowDxfId="1336"/>
    <tableColumn id="295" xr3:uid="{00000000-0010-0000-0100-000027010000}" name="Spalte297" dataDxfId="1335" totalsRowDxfId="1334"/>
    <tableColumn id="296" xr3:uid="{00000000-0010-0000-0100-000028010000}" name="Spalte298" dataDxfId="1333" totalsRowDxfId="1332"/>
    <tableColumn id="297" xr3:uid="{00000000-0010-0000-0100-000029010000}" name="Spalte299" dataDxfId="1331" totalsRowDxfId="1330"/>
    <tableColumn id="298" xr3:uid="{00000000-0010-0000-0100-00002A010000}" name="Spalte300" dataDxfId="1329" totalsRowDxfId="1328"/>
    <tableColumn id="299" xr3:uid="{00000000-0010-0000-0100-00002B010000}" name="Spalte301" dataDxfId="1327" totalsRowDxfId="1326"/>
    <tableColumn id="300" xr3:uid="{00000000-0010-0000-0100-00002C010000}" name="Spalte302" dataDxfId="1325" totalsRowDxfId="1324"/>
    <tableColumn id="301" xr3:uid="{00000000-0010-0000-0100-00002D010000}" name="Spalte303" dataDxfId="1323" totalsRowDxfId="1322"/>
    <tableColumn id="302" xr3:uid="{00000000-0010-0000-0100-00002E010000}" name="Spalte304" dataDxfId="1321" totalsRowDxfId="1320"/>
    <tableColumn id="303" xr3:uid="{00000000-0010-0000-0100-00002F010000}" name="Spalte305" dataDxfId="1319" totalsRowDxfId="1318"/>
    <tableColumn id="304" xr3:uid="{00000000-0010-0000-0100-000030010000}" name="Spalte306" dataDxfId="1317" totalsRowDxfId="1316"/>
    <tableColumn id="305" xr3:uid="{00000000-0010-0000-0100-000031010000}" name="Spalte307" dataDxfId="1315" totalsRowDxfId="1314"/>
    <tableColumn id="306" xr3:uid="{00000000-0010-0000-0100-000032010000}" name="Spalte308" dataDxfId="1313" totalsRowDxfId="1312"/>
    <tableColumn id="307" xr3:uid="{00000000-0010-0000-0100-000033010000}" name="Spalte309" dataDxfId="1311" totalsRowDxfId="1310"/>
    <tableColumn id="308" xr3:uid="{00000000-0010-0000-0100-000034010000}" name="Spalte310" dataDxfId="1309" totalsRowDxfId="1308"/>
    <tableColumn id="309" xr3:uid="{00000000-0010-0000-0100-000035010000}" name="Spalte311" dataDxfId="1307" totalsRowDxfId="1306"/>
    <tableColumn id="310" xr3:uid="{00000000-0010-0000-0100-000036010000}" name="Spalte312" dataDxfId="1305" totalsRowDxfId="1304"/>
    <tableColumn id="311" xr3:uid="{00000000-0010-0000-0100-000037010000}" name="Spalte313" dataDxfId="1303" totalsRowDxfId="1302"/>
    <tableColumn id="312" xr3:uid="{00000000-0010-0000-0100-000038010000}" name="Spalte314" dataDxfId="1301" totalsRowDxfId="1300"/>
    <tableColumn id="313" xr3:uid="{00000000-0010-0000-0100-000039010000}" name="Spalte315" dataDxfId="1299" totalsRowDxfId="1298"/>
    <tableColumn id="314" xr3:uid="{00000000-0010-0000-0100-00003A010000}" name="Spalte316" dataDxfId="1297" totalsRowDxfId="1296"/>
    <tableColumn id="315" xr3:uid="{00000000-0010-0000-0100-00003B010000}" name="Spalte317" dataDxfId="1295" totalsRowDxfId="1294"/>
    <tableColumn id="316" xr3:uid="{00000000-0010-0000-0100-00003C010000}" name="Spalte318" dataDxfId="1293" totalsRowDxfId="1292"/>
    <tableColumn id="317" xr3:uid="{00000000-0010-0000-0100-00003D010000}" name="Spalte319" dataDxfId="1291" totalsRowDxfId="1290"/>
    <tableColumn id="318" xr3:uid="{00000000-0010-0000-0100-00003E010000}" name="Spalte320" dataDxfId="1289" totalsRowDxfId="1288"/>
    <tableColumn id="319" xr3:uid="{00000000-0010-0000-0100-00003F010000}" name="Spalte321" dataDxfId="1287" totalsRowDxfId="1286"/>
    <tableColumn id="320" xr3:uid="{00000000-0010-0000-0100-000040010000}" name="Spalte322" dataDxfId="1285" totalsRowDxfId="1284"/>
    <tableColumn id="321" xr3:uid="{00000000-0010-0000-0100-000041010000}" name="Spalte323" dataDxfId="1283" totalsRowDxfId="1282"/>
    <tableColumn id="322" xr3:uid="{00000000-0010-0000-0100-000042010000}" name="Spalte324" dataDxfId="1281" totalsRowDxfId="1280"/>
    <tableColumn id="323" xr3:uid="{00000000-0010-0000-0100-000043010000}" name="Spalte325" dataDxfId="1279" totalsRowDxfId="1278"/>
    <tableColumn id="324" xr3:uid="{00000000-0010-0000-0100-000044010000}" name="Spalte326" dataDxfId="1277" totalsRowDxfId="1276"/>
    <tableColumn id="325" xr3:uid="{00000000-0010-0000-0100-000045010000}" name="Spalte327" dataDxfId="1275" totalsRowDxfId="1274"/>
    <tableColumn id="326" xr3:uid="{00000000-0010-0000-0100-000046010000}" name="Spalte328" dataDxfId="1273" totalsRowDxfId="1272"/>
    <tableColumn id="327" xr3:uid="{00000000-0010-0000-0100-000047010000}" name="Spalte329" dataDxfId="1271" totalsRowDxfId="1270"/>
    <tableColumn id="328" xr3:uid="{00000000-0010-0000-0100-000048010000}" name="Spalte330" dataDxfId="1269" totalsRowDxfId="1268"/>
    <tableColumn id="329" xr3:uid="{00000000-0010-0000-0100-000049010000}" name="Spalte331" dataDxfId="1267" totalsRowDxfId="1266"/>
    <tableColumn id="330" xr3:uid="{00000000-0010-0000-0100-00004A010000}" name="Spalte332" dataDxfId="1265" totalsRowDxfId="1264"/>
    <tableColumn id="331" xr3:uid="{00000000-0010-0000-0100-00004B010000}" name="Spalte333" dataDxfId="1263" totalsRowDxfId="1262"/>
    <tableColumn id="332" xr3:uid="{00000000-0010-0000-0100-00004C010000}" name="Spalte334" dataDxfId="1261" totalsRowDxfId="1260"/>
    <tableColumn id="333" xr3:uid="{00000000-0010-0000-0100-00004D010000}" name="Spalte335" dataDxfId="1259" totalsRowDxfId="1258"/>
    <tableColumn id="334" xr3:uid="{00000000-0010-0000-0100-00004E010000}" name="Spalte336" dataDxfId="1257" totalsRowDxfId="1256"/>
    <tableColumn id="335" xr3:uid="{00000000-0010-0000-0100-00004F010000}" name="Spalte337" dataDxfId="1255" totalsRowDxfId="1254"/>
    <tableColumn id="336" xr3:uid="{00000000-0010-0000-0100-000050010000}" name="Spalte338" dataDxfId="1253" totalsRowDxfId="1252"/>
    <tableColumn id="337" xr3:uid="{00000000-0010-0000-0100-000051010000}" name="Spalte339" dataDxfId="1251" totalsRowDxfId="1250"/>
    <tableColumn id="338" xr3:uid="{00000000-0010-0000-0100-000052010000}" name="Spalte340" dataDxfId="1249" totalsRowDxfId="1248"/>
    <tableColumn id="339" xr3:uid="{00000000-0010-0000-0100-000053010000}" name="Spalte341" dataDxfId="1247" totalsRowDxfId="1246"/>
    <tableColumn id="340" xr3:uid="{00000000-0010-0000-0100-000054010000}" name="Spalte342" dataDxfId="1245" totalsRowDxfId="1244"/>
    <tableColumn id="341" xr3:uid="{00000000-0010-0000-0100-000055010000}" name="Spalte343" dataDxfId="1243" totalsRowDxfId="1242"/>
    <tableColumn id="342" xr3:uid="{00000000-0010-0000-0100-000056010000}" name="Spalte344" dataDxfId="1241" totalsRowDxfId="1240"/>
    <tableColumn id="343" xr3:uid="{00000000-0010-0000-0100-000057010000}" name="Spalte345" dataDxfId="1239" totalsRowDxfId="1238"/>
    <tableColumn id="344" xr3:uid="{00000000-0010-0000-0100-000058010000}" name="Spalte346" dataDxfId="1237" totalsRowDxfId="1236"/>
    <tableColumn id="345" xr3:uid="{00000000-0010-0000-0100-000059010000}" name="Spalte347" dataDxfId="1235" totalsRowDxfId="1234"/>
    <tableColumn id="346" xr3:uid="{00000000-0010-0000-0100-00005A010000}" name="Spalte348" dataDxfId="1233" totalsRowDxfId="1232"/>
    <tableColumn id="347" xr3:uid="{00000000-0010-0000-0100-00005B010000}" name="Spalte349" dataDxfId="1231" totalsRowDxfId="1230"/>
    <tableColumn id="348" xr3:uid="{00000000-0010-0000-0100-00005C010000}" name="Spalte350" dataDxfId="1229" totalsRowDxfId="1228"/>
    <tableColumn id="349" xr3:uid="{00000000-0010-0000-0100-00005D010000}" name="Spalte351" dataDxfId="1227" totalsRowDxfId="1226"/>
    <tableColumn id="350" xr3:uid="{00000000-0010-0000-0100-00005E010000}" name="Spalte352" dataDxfId="1225" totalsRowDxfId="1224"/>
    <tableColumn id="351" xr3:uid="{00000000-0010-0000-0100-00005F010000}" name="Spalte353" dataDxfId="1223" totalsRowDxfId="1222"/>
    <tableColumn id="352" xr3:uid="{00000000-0010-0000-0100-000060010000}" name="Spalte354" dataDxfId="1221" totalsRowDxfId="1220"/>
    <tableColumn id="353" xr3:uid="{00000000-0010-0000-0100-000061010000}" name="Spalte355" dataDxfId="1219" totalsRowDxfId="1218"/>
    <tableColumn id="354" xr3:uid="{00000000-0010-0000-0100-000062010000}" name="Spalte356" dataDxfId="1217" totalsRowDxfId="1216"/>
    <tableColumn id="355" xr3:uid="{00000000-0010-0000-0100-000063010000}" name="Spalte357" dataDxfId="1215" totalsRowDxfId="1214"/>
    <tableColumn id="356" xr3:uid="{00000000-0010-0000-0100-000064010000}" name="Spalte358" dataDxfId="1213" totalsRowDxfId="1212"/>
    <tableColumn id="357" xr3:uid="{00000000-0010-0000-0100-000065010000}" name="Spalte359" dataDxfId="1211" totalsRowDxfId="1210"/>
    <tableColumn id="358" xr3:uid="{00000000-0010-0000-0100-000066010000}" name="Spalte360" dataDxfId="1209" totalsRowDxfId="1208"/>
    <tableColumn id="359" xr3:uid="{00000000-0010-0000-0100-000067010000}" name="Spalte361" dataDxfId="1207" totalsRowDxfId="1206"/>
    <tableColumn id="360" xr3:uid="{00000000-0010-0000-0100-000068010000}" name="Spalte362" dataDxfId="1205" totalsRowDxfId="1204"/>
    <tableColumn id="361" xr3:uid="{00000000-0010-0000-0100-000069010000}" name="Spalte363" dataDxfId="1203" totalsRowDxfId="1202"/>
    <tableColumn id="362" xr3:uid="{00000000-0010-0000-0100-00006A010000}" name="Spalte364" dataDxfId="1201" totalsRowDxfId="1200"/>
    <tableColumn id="363" xr3:uid="{00000000-0010-0000-0100-00006B010000}" name="Spalte365" dataDxfId="1199" totalsRowDxfId="1198"/>
    <tableColumn id="364" xr3:uid="{00000000-0010-0000-0100-00006C010000}" name="Spalte366" dataDxfId="1197" totalsRowDxfId="1196"/>
    <tableColumn id="365" xr3:uid="{00000000-0010-0000-0100-00006D010000}" name="Spalte367" dataDxfId="1195" totalsRowDxfId="1194"/>
    <tableColumn id="366" xr3:uid="{00000000-0010-0000-0100-00006E010000}" name="Spalte368" dataDxfId="1193" totalsRowDxfId="1192"/>
    <tableColumn id="367" xr3:uid="{00000000-0010-0000-0100-00006F010000}" name="Spalte369" dataDxfId="1191" totalsRowDxfId="1190"/>
    <tableColumn id="368" xr3:uid="{00000000-0010-0000-0100-000070010000}" name="Spalte370" dataDxfId="1189" totalsRowDxfId="1188"/>
    <tableColumn id="369" xr3:uid="{00000000-0010-0000-0100-000071010000}" name="Spalte371" dataDxfId="1187" totalsRowDxfId="1186"/>
    <tableColumn id="370" xr3:uid="{00000000-0010-0000-0100-000072010000}" name="Spalte372" dataDxfId="1185" totalsRowDxfId="1184"/>
    <tableColumn id="372" xr3:uid="{00000000-0010-0000-0100-000074010000}" name="Spalte373" dataDxfId="1183" totalsRowDxfId="1182"/>
    <tableColumn id="373" xr3:uid="{00000000-0010-0000-0100-000075010000}" name="Spalte374" dataDxfId="1181" totalsRowDxfId="1180"/>
  </tableColumns>
  <tableStyleInfo name="TableStyleMedium2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b_Einstellungen"/>
  <dimension ref="A1:L23"/>
  <sheetViews>
    <sheetView zoomScale="85" zoomScaleNormal="85" workbookViewId="0"/>
  </sheetViews>
  <sheetFormatPr baseColWidth="10" defaultRowHeight="15" x14ac:dyDescent="0.2"/>
  <cols>
    <col min="2" max="2" width="28.77734375" bestFit="1" customWidth="1"/>
    <col min="4" max="4" width="21.6640625" bestFit="1" customWidth="1"/>
  </cols>
  <sheetData>
    <row r="1" spans="1:12" x14ac:dyDescent="0.2">
      <c r="A1" s="7" t="s">
        <v>0</v>
      </c>
      <c r="B1" t="s">
        <v>1</v>
      </c>
      <c r="D1" t="s">
        <v>8</v>
      </c>
      <c r="E1" s="4">
        <f>Datenbank!C6</f>
        <v>2027</v>
      </c>
      <c r="G1" s="4" t="s">
        <v>23</v>
      </c>
      <c r="J1" t="s">
        <v>420</v>
      </c>
      <c r="L1" t="s">
        <v>424</v>
      </c>
    </row>
    <row r="2" spans="1:12" x14ac:dyDescent="0.2">
      <c r="A2" s="8" t="s">
        <v>6</v>
      </c>
      <c r="B2" t="s">
        <v>2</v>
      </c>
      <c r="D2" t="s">
        <v>9</v>
      </c>
      <c r="E2" s="5">
        <f>DATE($E$1,1,1)</f>
        <v>46388</v>
      </c>
      <c r="G2" s="4">
        <v>2022</v>
      </c>
      <c r="J2" t="s">
        <v>421</v>
      </c>
      <c r="L2" t="s">
        <v>425</v>
      </c>
    </row>
    <row r="3" spans="1:12" x14ac:dyDescent="0.2">
      <c r="A3" s="9" t="s">
        <v>7</v>
      </c>
      <c r="B3" t="s">
        <v>3</v>
      </c>
      <c r="D3" t="s">
        <v>10</v>
      </c>
      <c r="E3" s="5">
        <f>E4-2</f>
        <v>46472</v>
      </c>
      <c r="G3" s="4">
        <v>2023</v>
      </c>
      <c r="J3" t="s">
        <v>422</v>
      </c>
      <c r="L3" t="s">
        <v>426</v>
      </c>
    </row>
    <row r="4" spans="1:12" x14ac:dyDescent="0.2">
      <c r="A4" s="31" t="s">
        <v>49</v>
      </c>
      <c r="B4" t="s">
        <v>50</v>
      </c>
      <c r="D4" t="s">
        <v>12</v>
      </c>
      <c r="E4" s="5">
        <f>DATE($E$1,3,28)+MOD(24-MOD($E$1,19)*10.63,29)-MOD(TRUNC($E$1*5/4)+MOD(24-MOD($E$1,19)*10.63,29)+1,7)</f>
        <v>46474</v>
      </c>
      <c r="G4" s="4">
        <v>2024</v>
      </c>
      <c r="J4" t="s">
        <v>423</v>
      </c>
      <c r="L4" t="s">
        <v>427</v>
      </c>
    </row>
    <row r="5" spans="1:12" x14ac:dyDescent="0.2">
      <c r="A5" s="32" t="s">
        <v>4</v>
      </c>
      <c r="B5" t="s">
        <v>5</v>
      </c>
      <c r="D5" t="s">
        <v>11</v>
      </c>
      <c r="E5" s="5">
        <f>E4+1</f>
        <v>46475</v>
      </c>
      <c r="G5" s="4">
        <v>2025</v>
      </c>
      <c r="L5" t="s">
        <v>428</v>
      </c>
    </row>
    <row r="6" spans="1:12" x14ac:dyDescent="0.2">
      <c r="A6" s="26" t="s">
        <v>24</v>
      </c>
      <c r="B6" t="s">
        <v>25</v>
      </c>
      <c r="D6" t="s">
        <v>13</v>
      </c>
      <c r="E6" s="5">
        <f>DATE($E$1,5,1)</f>
        <v>46508</v>
      </c>
      <c r="G6" s="4">
        <v>2026</v>
      </c>
      <c r="J6" s="33">
        <v>100</v>
      </c>
      <c r="L6" t="s">
        <v>429</v>
      </c>
    </row>
    <row r="7" spans="1:12" x14ac:dyDescent="0.2">
      <c r="A7" s="25" t="s">
        <v>29</v>
      </c>
      <c r="B7" t="s">
        <v>26</v>
      </c>
      <c r="D7" t="s">
        <v>14</v>
      </c>
      <c r="E7" s="5">
        <f>$E$4+39</f>
        <v>46513</v>
      </c>
      <c r="G7" s="4">
        <v>2027</v>
      </c>
      <c r="J7" s="33">
        <v>200</v>
      </c>
      <c r="L7" t="s">
        <v>430</v>
      </c>
    </row>
    <row r="8" spans="1:12" x14ac:dyDescent="0.2">
      <c r="A8" s="25" t="s">
        <v>28</v>
      </c>
      <c r="B8" t="s">
        <v>27</v>
      </c>
      <c r="D8" t="s">
        <v>15</v>
      </c>
      <c r="E8" s="5">
        <f>$E$4+49</f>
        <v>46523</v>
      </c>
      <c r="G8" s="4">
        <v>2028</v>
      </c>
      <c r="L8" t="s">
        <v>431</v>
      </c>
    </row>
    <row r="9" spans="1:12" x14ac:dyDescent="0.2">
      <c r="A9" s="32" t="s">
        <v>30</v>
      </c>
      <c r="B9" t="s">
        <v>31</v>
      </c>
      <c r="D9" t="s">
        <v>16</v>
      </c>
      <c r="E9" s="5">
        <f>$E$8+1</f>
        <v>46524</v>
      </c>
      <c r="G9" s="4">
        <v>2029</v>
      </c>
      <c r="L9" t="s">
        <v>458</v>
      </c>
    </row>
    <row r="10" spans="1:12" x14ac:dyDescent="0.2">
      <c r="A10" t="s">
        <v>32</v>
      </c>
      <c r="B10" t="s">
        <v>33</v>
      </c>
      <c r="D10" t="s">
        <v>17</v>
      </c>
      <c r="E10" s="5">
        <f>DATE($E$1,10,3)</f>
        <v>46663</v>
      </c>
      <c r="G10" s="4">
        <v>2030</v>
      </c>
      <c r="L10" t="s">
        <v>432</v>
      </c>
    </row>
    <row r="11" spans="1:12" x14ac:dyDescent="0.2">
      <c r="A11" s="29" t="s">
        <v>40</v>
      </c>
      <c r="B11" t="s">
        <v>34</v>
      </c>
      <c r="D11" t="s">
        <v>18</v>
      </c>
      <c r="E11" s="5">
        <f>DATE($E$1,10,31)</f>
        <v>46691</v>
      </c>
      <c r="G11" s="4">
        <v>2031</v>
      </c>
      <c r="L11" t="s">
        <v>433</v>
      </c>
    </row>
    <row r="12" spans="1:12" x14ac:dyDescent="0.2">
      <c r="A12" s="31" t="s">
        <v>41</v>
      </c>
      <c r="B12" t="s">
        <v>47</v>
      </c>
      <c r="D12" t="s">
        <v>19</v>
      </c>
      <c r="E12" s="5">
        <f>DATE($E$1,12,24)</f>
        <v>46745</v>
      </c>
      <c r="G12" s="4">
        <v>2032</v>
      </c>
      <c r="L12" t="s">
        <v>434</v>
      </c>
    </row>
    <row r="13" spans="1:12" x14ac:dyDescent="0.2">
      <c r="A13" s="31" t="s">
        <v>42</v>
      </c>
      <c r="B13" t="s">
        <v>48</v>
      </c>
      <c r="D13" t="s">
        <v>20</v>
      </c>
      <c r="E13" s="5">
        <f>$E$12+1</f>
        <v>46746</v>
      </c>
      <c r="G13" s="4">
        <v>2033</v>
      </c>
      <c r="L13" t="s">
        <v>435</v>
      </c>
    </row>
    <row r="14" spans="1:12" x14ac:dyDescent="0.2">
      <c r="A14" s="31" t="s">
        <v>43</v>
      </c>
      <c r="B14" t="s">
        <v>44</v>
      </c>
      <c r="D14" t="s">
        <v>21</v>
      </c>
      <c r="E14" s="5">
        <f>$E$13+1</f>
        <v>46747</v>
      </c>
      <c r="G14" s="4">
        <v>2034</v>
      </c>
      <c r="L14" t="s">
        <v>436</v>
      </c>
    </row>
    <row r="15" spans="1:12" x14ac:dyDescent="0.2">
      <c r="A15" s="27" t="s">
        <v>45</v>
      </c>
      <c r="B15" t="s">
        <v>46</v>
      </c>
      <c r="D15" t="s">
        <v>22</v>
      </c>
      <c r="E15" s="6">
        <f>DATE($E$1,12,31)</f>
        <v>46752</v>
      </c>
      <c r="G15" s="4">
        <v>2035</v>
      </c>
      <c r="L15" t="s">
        <v>437</v>
      </c>
    </row>
    <row r="16" spans="1:12" x14ac:dyDescent="0.2">
      <c r="A16" s="30" t="s">
        <v>443</v>
      </c>
      <c r="B16" t="s">
        <v>446</v>
      </c>
      <c r="L16" t="s">
        <v>438</v>
      </c>
    </row>
    <row r="17" spans="1:12" x14ac:dyDescent="0.2">
      <c r="A17" s="28" t="s">
        <v>444</v>
      </c>
      <c r="B17" t="s">
        <v>445</v>
      </c>
      <c r="L17" t="s">
        <v>439</v>
      </c>
    </row>
    <row r="18" spans="1:12" x14ac:dyDescent="0.2">
      <c r="A18" s="51" t="s">
        <v>460</v>
      </c>
      <c r="B18" t="s">
        <v>461</v>
      </c>
      <c r="L18" t="s">
        <v>440</v>
      </c>
    </row>
    <row r="19" spans="1:12" x14ac:dyDescent="0.2">
      <c r="A19" s="31" t="s">
        <v>462</v>
      </c>
      <c r="B19" t="s">
        <v>463</v>
      </c>
      <c r="L19" t="s">
        <v>441</v>
      </c>
    </row>
    <row r="20" spans="1:12" x14ac:dyDescent="0.2">
      <c r="A20" s="31" t="s">
        <v>464</v>
      </c>
      <c r="B20" t="s">
        <v>465</v>
      </c>
      <c r="L20" t="s">
        <v>442</v>
      </c>
    </row>
    <row r="21" spans="1:12" x14ac:dyDescent="0.2">
      <c r="A21" s="59" t="s">
        <v>468</v>
      </c>
      <c r="B21" t="s">
        <v>469</v>
      </c>
    </row>
    <row r="22" spans="1:12" x14ac:dyDescent="0.2">
      <c r="A22" t="s">
        <v>472</v>
      </c>
      <c r="B22" t="s">
        <v>473</v>
      </c>
    </row>
    <row r="23" spans="1:12" x14ac:dyDescent="0.2">
      <c r="A23" t="s">
        <v>470</v>
      </c>
      <c r="B23" t="s">
        <v>471</v>
      </c>
    </row>
  </sheetData>
  <pageMargins left="0.7" right="0.7" top="0.78740157499999996" bottom="0.78740157499999996"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b_Datenbank">
    <outlinePr showOutlineSymbols="0"/>
  </sheetPr>
  <dimension ref="A1:NK27"/>
  <sheetViews>
    <sheetView showGridLines="0" tabSelected="1" showOutlineSymbols="0" zoomScale="85" zoomScaleNormal="85" zoomScaleSheetLayoutView="100" workbookViewId="0">
      <pane xSplit="6" ySplit="7" topLeftCell="G8" activePane="bottomRight" state="frozen"/>
      <selection activeCell="B1" sqref="B1"/>
      <selection pane="topRight" activeCell="G1" sqref="G1"/>
      <selection pane="bottomLeft" activeCell="B8" sqref="B8"/>
      <selection pane="bottomRight" activeCell="M9" sqref="M9"/>
    </sheetView>
  </sheetViews>
  <sheetFormatPr baseColWidth="10" defaultRowHeight="15" x14ac:dyDescent="0.2"/>
  <cols>
    <col min="1" max="1" width="2.77734375" style="3" hidden="1" customWidth="1"/>
    <col min="2" max="2" width="10.33203125" customWidth="1"/>
    <col min="3" max="3" width="12.5546875" bestFit="1" customWidth="1"/>
    <col min="4" max="4" width="12" customWidth="1"/>
    <col min="5" max="5" width="4" style="3" hidden="1" customWidth="1"/>
    <col min="6" max="6" width="7.6640625" style="42" hidden="1" customWidth="1"/>
    <col min="7" max="15" width="5.5546875" customWidth="1"/>
    <col min="16" max="37" width="6.33203125" customWidth="1"/>
    <col min="38" max="46" width="5.5546875" customWidth="1"/>
    <col min="47" max="65" width="6.33203125" customWidth="1"/>
    <col min="66" max="74" width="5.5546875" customWidth="1"/>
    <col min="75" max="96" width="6.33203125" customWidth="1"/>
    <col min="97" max="105" width="5.5546875" customWidth="1"/>
    <col min="106" max="126" width="6.33203125" customWidth="1"/>
    <col min="127" max="135" width="5.5546875" customWidth="1"/>
    <col min="136" max="157" width="6.33203125" customWidth="1"/>
    <col min="158" max="166" width="5.5546875" customWidth="1"/>
    <col min="167" max="187" width="6.33203125" customWidth="1"/>
    <col min="188" max="196" width="5.5546875" customWidth="1"/>
    <col min="197" max="218" width="6.33203125" customWidth="1"/>
    <col min="219" max="227" width="5.5546875" customWidth="1"/>
    <col min="228" max="249" width="6.33203125" customWidth="1"/>
    <col min="250" max="258" width="5.5546875" customWidth="1"/>
    <col min="259" max="288" width="6.33203125" customWidth="1"/>
    <col min="289" max="310" width="7.33203125" customWidth="1"/>
    <col min="311" max="319" width="6.33203125" customWidth="1"/>
    <col min="320" max="340" width="7.33203125" customWidth="1"/>
    <col min="341" max="349" width="6.33203125" customWidth="1"/>
    <col min="350" max="371" width="7.33203125" customWidth="1"/>
    <col min="372" max="372" width="7.33203125" hidden="1" customWidth="1"/>
    <col min="373" max="374" width="11.5546875" customWidth="1"/>
  </cols>
  <sheetData>
    <row r="1" spans="1:375" s="1" customFormat="1" ht="51" customHeight="1" x14ac:dyDescent="0.2">
      <c r="A1" s="10"/>
      <c r="E1" s="10"/>
      <c r="F1" s="52"/>
    </row>
    <row r="2" spans="1:375" s="44" customFormat="1" x14ac:dyDescent="0.2">
      <c r="A2" s="19"/>
      <c r="C2" s="69" t="s">
        <v>474</v>
      </c>
      <c r="E2" s="19"/>
      <c r="F2" s="53"/>
      <c r="AL2" s="44">
        <f>MONTH(AL4)</f>
        <v>2</v>
      </c>
      <c r="AM2" s="44">
        <f t="shared" ref="AM2:BN2" si="0">MONTH(AM4)</f>
        <v>2</v>
      </c>
      <c r="AN2" s="44">
        <f t="shared" si="0"/>
        <v>2</v>
      </c>
      <c r="AO2" s="44">
        <f t="shared" si="0"/>
        <v>2</v>
      </c>
      <c r="AP2" s="44">
        <f t="shared" si="0"/>
        <v>2</v>
      </c>
      <c r="AQ2" s="44">
        <f t="shared" si="0"/>
        <v>2</v>
      </c>
      <c r="AR2" s="44">
        <f t="shared" si="0"/>
        <v>2</v>
      </c>
      <c r="AS2" s="44">
        <f t="shared" si="0"/>
        <v>2</v>
      </c>
      <c r="AT2" s="44">
        <f t="shared" si="0"/>
        <v>2</v>
      </c>
      <c r="AU2" s="44">
        <f t="shared" si="0"/>
        <v>2</v>
      </c>
      <c r="AV2" s="44">
        <f t="shared" si="0"/>
        <v>2</v>
      </c>
      <c r="AW2" s="44">
        <f t="shared" si="0"/>
        <v>2</v>
      </c>
      <c r="AX2" s="44">
        <f t="shared" si="0"/>
        <v>2</v>
      </c>
      <c r="AY2" s="44">
        <f t="shared" si="0"/>
        <v>2</v>
      </c>
      <c r="AZ2" s="44">
        <f t="shared" si="0"/>
        <v>2</v>
      </c>
      <c r="BA2" s="44">
        <f t="shared" si="0"/>
        <v>2</v>
      </c>
      <c r="BB2" s="44">
        <f t="shared" si="0"/>
        <v>2</v>
      </c>
      <c r="BC2" s="44">
        <f t="shared" si="0"/>
        <v>2</v>
      </c>
      <c r="BD2" s="44">
        <f t="shared" si="0"/>
        <v>2</v>
      </c>
      <c r="BE2" s="44">
        <f t="shared" si="0"/>
        <v>2</v>
      </c>
      <c r="BF2" s="44">
        <f t="shared" si="0"/>
        <v>2</v>
      </c>
      <c r="BG2" s="44">
        <f t="shared" si="0"/>
        <v>2</v>
      </c>
      <c r="BH2" s="44">
        <f t="shared" si="0"/>
        <v>2</v>
      </c>
      <c r="BI2" s="44">
        <f t="shared" si="0"/>
        <v>2</v>
      </c>
      <c r="BJ2" s="44">
        <f t="shared" si="0"/>
        <v>2</v>
      </c>
      <c r="BK2" s="44">
        <f t="shared" si="0"/>
        <v>2</v>
      </c>
      <c r="BL2" s="44">
        <f t="shared" si="0"/>
        <v>2</v>
      </c>
      <c r="BM2" s="44">
        <f t="shared" si="0"/>
        <v>2</v>
      </c>
      <c r="BN2" s="44">
        <f t="shared" si="0"/>
        <v>3</v>
      </c>
    </row>
    <row r="3" spans="1:375" s="23" customFormat="1" ht="15.75" x14ac:dyDescent="0.25">
      <c r="A3" s="22"/>
      <c r="C3" s="68">
        <v>46268.522789351853</v>
      </c>
      <c r="E3" s="22"/>
      <c r="F3" s="24"/>
      <c r="G3" s="24" t="str">
        <f>IF(G5="Mi","Kw "&amp;WEEKNUM(G4,21),"")</f>
        <v/>
      </c>
      <c r="H3" s="24" t="str">
        <f t="shared" ref="H3:BS3" si="1">IF(H5="Mi","Kw "&amp;WEEKNUM(H4,21),"")</f>
        <v/>
      </c>
      <c r="I3" s="24" t="str">
        <f t="shared" si="1"/>
        <v/>
      </c>
      <c r="J3" s="24" t="str">
        <f t="shared" si="1"/>
        <v/>
      </c>
      <c r="K3" s="24" t="str">
        <f t="shared" si="1"/>
        <v/>
      </c>
      <c r="L3" s="24" t="str">
        <f t="shared" si="1"/>
        <v>Kw 1</v>
      </c>
      <c r="M3" s="24" t="str">
        <f t="shared" si="1"/>
        <v/>
      </c>
      <c r="N3" s="24" t="str">
        <f t="shared" si="1"/>
        <v/>
      </c>
      <c r="O3" s="24" t="str">
        <f t="shared" si="1"/>
        <v/>
      </c>
      <c r="P3" s="24" t="str">
        <f t="shared" si="1"/>
        <v/>
      </c>
      <c r="Q3" s="24" t="str">
        <f t="shared" si="1"/>
        <v/>
      </c>
      <c r="R3" s="24" t="str">
        <f t="shared" si="1"/>
        <v/>
      </c>
      <c r="S3" s="24" t="str">
        <f t="shared" si="1"/>
        <v>Kw 2</v>
      </c>
      <c r="T3" s="24" t="str">
        <f t="shared" si="1"/>
        <v/>
      </c>
      <c r="U3" s="24" t="str">
        <f t="shared" si="1"/>
        <v/>
      </c>
      <c r="V3" s="24" t="str">
        <f t="shared" si="1"/>
        <v/>
      </c>
      <c r="W3" s="24" t="str">
        <f t="shared" si="1"/>
        <v/>
      </c>
      <c r="X3" s="24" t="str">
        <f t="shared" si="1"/>
        <v/>
      </c>
      <c r="Y3" s="24" t="str">
        <f t="shared" si="1"/>
        <v/>
      </c>
      <c r="Z3" s="24" t="str">
        <f t="shared" si="1"/>
        <v>Kw 3</v>
      </c>
      <c r="AA3" s="24" t="str">
        <f t="shared" si="1"/>
        <v/>
      </c>
      <c r="AB3" s="24" t="str">
        <f t="shared" si="1"/>
        <v/>
      </c>
      <c r="AC3" s="24" t="str">
        <f t="shared" si="1"/>
        <v/>
      </c>
      <c r="AD3" s="24" t="str">
        <f t="shared" si="1"/>
        <v/>
      </c>
      <c r="AE3" s="24" t="str">
        <f t="shared" si="1"/>
        <v/>
      </c>
      <c r="AF3" s="24" t="str">
        <f t="shared" si="1"/>
        <v/>
      </c>
      <c r="AG3" s="24" t="str">
        <f t="shared" si="1"/>
        <v>Kw 4</v>
      </c>
      <c r="AH3" s="24" t="str">
        <f t="shared" si="1"/>
        <v/>
      </c>
      <c r="AI3" s="24" t="str">
        <f t="shared" si="1"/>
        <v/>
      </c>
      <c r="AJ3" s="24" t="str">
        <f t="shared" si="1"/>
        <v/>
      </c>
      <c r="AK3" s="24" t="str">
        <f t="shared" si="1"/>
        <v/>
      </c>
      <c r="AL3" s="24" t="str">
        <f t="shared" si="1"/>
        <v/>
      </c>
      <c r="AM3" s="24" t="str">
        <f t="shared" si="1"/>
        <v/>
      </c>
      <c r="AN3" s="24" t="str">
        <f t="shared" si="1"/>
        <v>Kw 5</v>
      </c>
      <c r="AO3" s="24" t="str">
        <f t="shared" si="1"/>
        <v/>
      </c>
      <c r="AP3" s="24" t="str">
        <f t="shared" si="1"/>
        <v/>
      </c>
      <c r="AQ3" s="24" t="str">
        <f t="shared" si="1"/>
        <v/>
      </c>
      <c r="AR3" s="24" t="str">
        <f t="shared" si="1"/>
        <v/>
      </c>
      <c r="AS3" s="24" t="str">
        <f t="shared" si="1"/>
        <v/>
      </c>
      <c r="AT3" s="24" t="str">
        <f t="shared" si="1"/>
        <v/>
      </c>
      <c r="AU3" s="24" t="str">
        <f t="shared" si="1"/>
        <v>Kw 6</v>
      </c>
      <c r="AV3" s="24" t="str">
        <f t="shared" si="1"/>
        <v/>
      </c>
      <c r="AW3" s="24" t="str">
        <f t="shared" si="1"/>
        <v/>
      </c>
      <c r="AX3" s="24" t="str">
        <f t="shared" si="1"/>
        <v/>
      </c>
      <c r="AY3" s="24" t="str">
        <f t="shared" si="1"/>
        <v/>
      </c>
      <c r="AZ3" s="24" t="str">
        <f t="shared" si="1"/>
        <v/>
      </c>
      <c r="BA3" s="24" t="str">
        <f t="shared" si="1"/>
        <v/>
      </c>
      <c r="BB3" s="24" t="str">
        <f t="shared" si="1"/>
        <v>Kw 7</v>
      </c>
      <c r="BC3" s="24" t="str">
        <f t="shared" si="1"/>
        <v/>
      </c>
      <c r="BD3" s="24" t="str">
        <f t="shared" si="1"/>
        <v/>
      </c>
      <c r="BE3" s="24" t="str">
        <f t="shared" si="1"/>
        <v/>
      </c>
      <c r="BF3" s="24" t="str">
        <f t="shared" si="1"/>
        <v/>
      </c>
      <c r="BG3" s="24" t="str">
        <f t="shared" si="1"/>
        <v/>
      </c>
      <c r="BH3" s="24" t="str">
        <f t="shared" si="1"/>
        <v/>
      </c>
      <c r="BI3" s="24" t="str">
        <f t="shared" si="1"/>
        <v>Kw 8</v>
      </c>
      <c r="BJ3" s="24" t="str">
        <f t="shared" si="1"/>
        <v/>
      </c>
      <c r="BK3" s="24" t="str">
        <f t="shared" si="1"/>
        <v/>
      </c>
      <c r="BL3" s="24" t="str">
        <f t="shared" si="1"/>
        <v/>
      </c>
      <c r="BM3" s="24" t="str">
        <f t="shared" si="1"/>
        <v/>
      </c>
      <c r="BN3" s="24" t="str">
        <f t="shared" si="1"/>
        <v/>
      </c>
      <c r="BO3" s="24" t="str">
        <f t="shared" si="1"/>
        <v/>
      </c>
      <c r="BP3" s="24" t="str">
        <f t="shared" si="1"/>
        <v>Kw 9</v>
      </c>
      <c r="BQ3" s="24" t="str">
        <f t="shared" si="1"/>
        <v/>
      </c>
      <c r="BR3" s="24" t="str">
        <f t="shared" si="1"/>
        <v/>
      </c>
      <c r="BS3" s="24" t="str">
        <f t="shared" si="1"/>
        <v/>
      </c>
      <c r="BT3" s="24" t="str">
        <f t="shared" ref="BT3:EE3" si="2">IF(BT5="Mi","Kw "&amp;WEEKNUM(BT4,21),"")</f>
        <v/>
      </c>
      <c r="BU3" s="24" t="str">
        <f t="shared" si="2"/>
        <v/>
      </c>
      <c r="BV3" s="24" t="str">
        <f t="shared" si="2"/>
        <v/>
      </c>
      <c r="BW3" s="24" t="str">
        <f t="shared" si="2"/>
        <v>Kw 10</v>
      </c>
      <c r="BX3" s="24" t="str">
        <f t="shared" si="2"/>
        <v/>
      </c>
      <c r="BY3" s="24" t="str">
        <f t="shared" si="2"/>
        <v/>
      </c>
      <c r="BZ3" s="24" t="str">
        <f t="shared" si="2"/>
        <v/>
      </c>
      <c r="CA3" s="24" t="str">
        <f t="shared" si="2"/>
        <v/>
      </c>
      <c r="CB3" s="24" t="str">
        <f t="shared" si="2"/>
        <v/>
      </c>
      <c r="CC3" s="24" t="str">
        <f t="shared" si="2"/>
        <v/>
      </c>
      <c r="CD3" s="24" t="str">
        <f t="shared" si="2"/>
        <v>Kw 11</v>
      </c>
      <c r="CE3" s="24" t="str">
        <f t="shared" si="2"/>
        <v/>
      </c>
      <c r="CF3" s="24" t="str">
        <f t="shared" si="2"/>
        <v/>
      </c>
      <c r="CG3" s="24" t="str">
        <f t="shared" si="2"/>
        <v/>
      </c>
      <c r="CH3" s="24" t="str">
        <f t="shared" si="2"/>
        <v/>
      </c>
      <c r="CI3" s="24" t="str">
        <f t="shared" si="2"/>
        <v/>
      </c>
      <c r="CJ3" s="24" t="str">
        <f t="shared" si="2"/>
        <v/>
      </c>
      <c r="CK3" s="24" t="str">
        <f t="shared" si="2"/>
        <v>Kw 12</v>
      </c>
      <c r="CL3" s="24" t="str">
        <f t="shared" si="2"/>
        <v/>
      </c>
      <c r="CM3" s="24" t="str">
        <f t="shared" si="2"/>
        <v/>
      </c>
      <c r="CN3" s="24" t="str">
        <f t="shared" si="2"/>
        <v/>
      </c>
      <c r="CO3" s="24" t="str">
        <f t="shared" si="2"/>
        <v/>
      </c>
      <c r="CP3" s="24" t="str">
        <f t="shared" si="2"/>
        <v/>
      </c>
      <c r="CQ3" s="24" t="str">
        <f t="shared" si="2"/>
        <v/>
      </c>
      <c r="CR3" s="24" t="str">
        <f t="shared" si="2"/>
        <v>Kw 13</v>
      </c>
      <c r="CS3" s="24" t="str">
        <f t="shared" si="2"/>
        <v/>
      </c>
      <c r="CT3" s="24" t="str">
        <f t="shared" si="2"/>
        <v/>
      </c>
      <c r="CU3" s="24" t="str">
        <f t="shared" si="2"/>
        <v/>
      </c>
      <c r="CV3" s="24" t="str">
        <f t="shared" si="2"/>
        <v/>
      </c>
      <c r="CW3" s="24" t="str">
        <f t="shared" si="2"/>
        <v/>
      </c>
      <c r="CX3" s="24" t="str">
        <f t="shared" si="2"/>
        <v/>
      </c>
      <c r="CY3" s="24" t="str">
        <f t="shared" si="2"/>
        <v>Kw 14</v>
      </c>
      <c r="CZ3" s="24" t="str">
        <f t="shared" si="2"/>
        <v/>
      </c>
      <c r="DA3" s="24" t="str">
        <f t="shared" si="2"/>
        <v/>
      </c>
      <c r="DB3" s="24" t="str">
        <f t="shared" si="2"/>
        <v/>
      </c>
      <c r="DC3" s="24" t="str">
        <f t="shared" si="2"/>
        <v/>
      </c>
      <c r="DD3" s="24" t="str">
        <f t="shared" si="2"/>
        <v/>
      </c>
      <c r="DE3" s="24" t="str">
        <f t="shared" si="2"/>
        <v/>
      </c>
      <c r="DF3" s="24" t="str">
        <f t="shared" si="2"/>
        <v>Kw 15</v>
      </c>
      <c r="DG3" s="24" t="str">
        <f t="shared" si="2"/>
        <v/>
      </c>
      <c r="DH3" s="24" t="str">
        <f t="shared" si="2"/>
        <v/>
      </c>
      <c r="DI3" s="24" t="str">
        <f t="shared" si="2"/>
        <v/>
      </c>
      <c r="DJ3" s="24" t="str">
        <f t="shared" si="2"/>
        <v/>
      </c>
      <c r="DK3" s="24" t="str">
        <f t="shared" si="2"/>
        <v/>
      </c>
      <c r="DL3" s="24" t="str">
        <f t="shared" si="2"/>
        <v/>
      </c>
      <c r="DM3" s="24" t="str">
        <f t="shared" si="2"/>
        <v>Kw 16</v>
      </c>
      <c r="DN3" s="24" t="str">
        <f t="shared" si="2"/>
        <v/>
      </c>
      <c r="DO3" s="24" t="str">
        <f t="shared" si="2"/>
        <v/>
      </c>
      <c r="DP3" s="24" t="str">
        <f t="shared" si="2"/>
        <v/>
      </c>
      <c r="DQ3" s="24" t="str">
        <f t="shared" si="2"/>
        <v/>
      </c>
      <c r="DR3" s="24" t="str">
        <f t="shared" si="2"/>
        <v/>
      </c>
      <c r="DS3" s="24" t="str">
        <f t="shared" si="2"/>
        <v/>
      </c>
      <c r="DT3" s="24" t="str">
        <f t="shared" si="2"/>
        <v>Kw 17</v>
      </c>
      <c r="DU3" s="24" t="str">
        <f t="shared" si="2"/>
        <v/>
      </c>
      <c r="DV3" s="24" t="str">
        <f t="shared" si="2"/>
        <v/>
      </c>
      <c r="DW3" s="24" t="str">
        <f t="shared" si="2"/>
        <v/>
      </c>
      <c r="DX3" s="24" t="str">
        <f t="shared" si="2"/>
        <v/>
      </c>
      <c r="DY3" s="24" t="str">
        <f t="shared" si="2"/>
        <v/>
      </c>
      <c r="DZ3" s="24" t="str">
        <f t="shared" si="2"/>
        <v/>
      </c>
      <c r="EA3" s="24" t="str">
        <f t="shared" si="2"/>
        <v>Kw 18</v>
      </c>
      <c r="EB3" s="24" t="str">
        <f t="shared" si="2"/>
        <v/>
      </c>
      <c r="EC3" s="24" t="str">
        <f t="shared" si="2"/>
        <v/>
      </c>
      <c r="ED3" s="24" t="str">
        <f t="shared" si="2"/>
        <v/>
      </c>
      <c r="EE3" s="24" t="str">
        <f t="shared" si="2"/>
        <v/>
      </c>
      <c r="EF3" s="24" t="str">
        <f t="shared" ref="EF3:GQ3" si="3">IF(EF5="Mi","Kw "&amp;WEEKNUM(EF4,21),"")</f>
        <v/>
      </c>
      <c r="EG3" s="24" t="str">
        <f t="shared" si="3"/>
        <v/>
      </c>
      <c r="EH3" s="24" t="str">
        <f t="shared" si="3"/>
        <v>Kw 19</v>
      </c>
      <c r="EI3" s="24" t="str">
        <f t="shared" si="3"/>
        <v/>
      </c>
      <c r="EJ3" s="24" t="str">
        <f t="shared" si="3"/>
        <v/>
      </c>
      <c r="EK3" s="24" t="str">
        <f t="shared" si="3"/>
        <v/>
      </c>
      <c r="EL3" s="24" t="str">
        <f t="shared" si="3"/>
        <v/>
      </c>
      <c r="EM3" s="24" t="str">
        <f t="shared" si="3"/>
        <v/>
      </c>
      <c r="EN3" s="24" t="str">
        <f t="shared" si="3"/>
        <v/>
      </c>
      <c r="EO3" s="24" t="str">
        <f t="shared" si="3"/>
        <v>Kw 20</v>
      </c>
      <c r="EP3" s="24" t="str">
        <f t="shared" si="3"/>
        <v/>
      </c>
      <c r="EQ3" s="24" t="str">
        <f t="shared" si="3"/>
        <v/>
      </c>
      <c r="ER3" s="24" t="str">
        <f t="shared" si="3"/>
        <v/>
      </c>
      <c r="ES3" s="24" t="str">
        <f t="shared" si="3"/>
        <v/>
      </c>
      <c r="ET3" s="24" t="str">
        <f t="shared" si="3"/>
        <v/>
      </c>
      <c r="EU3" s="24" t="str">
        <f t="shared" si="3"/>
        <v/>
      </c>
      <c r="EV3" s="24" t="str">
        <f t="shared" si="3"/>
        <v>Kw 21</v>
      </c>
      <c r="EW3" s="24" t="str">
        <f t="shared" si="3"/>
        <v/>
      </c>
      <c r="EX3" s="24" t="str">
        <f t="shared" si="3"/>
        <v/>
      </c>
      <c r="EY3" s="24" t="str">
        <f t="shared" si="3"/>
        <v/>
      </c>
      <c r="EZ3" s="24" t="str">
        <f t="shared" si="3"/>
        <v/>
      </c>
      <c r="FA3" s="24" t="str">
        <f t="shared" si="3"/>
        <v/>
      </c>
      <c r="FB3" s="24" t="str">
        <f t="shared" si="3"/>
        <v/>
      </c>
      <c r="FC3" s="24" t="str">
        <f t="shared" si="3"/>
        <v>Kw 22</v>
      </c>
      <c r="FD3" s="24" t="str">
        <f t="shared" si="3"/>
        <v/>
      </c>
      <c r="FE3" s="24" t="str">
        <f t="shared" si="3"/>
        <v/>
      </c>
      <c r="FF3" s="24" t="str">
        <f t="shared" si="3"/>
        <v/>
      </c>
      <c r="FG3" s="24" t="str">
        <f t="shared" si="3"/>
        <v/>
      </c>
      <c r="FH3" s="24" t="str">
        <f t="shared" si="3"/>
        <v/>
      </c>
      <c r="FI3" s="24" t="str">
        <f t="shared" si="3"/>
        <v/>
      </c>
      <c r="FJ3" s="24" t="str">
        <f t="shared" si="3"/>
        <v>Kw 23</v>
      </c>
      <c r="FK3" s="24" t="str">
        <f t="shared" si="3"/>
        <v/>
      </c>
      <c r="FL3" s="24" t="str">
        <f t="shared" si="3"/>
        <v/>
      </c>
      <c r="FM3" s="24" t="str">
        <f t="shared" si="3"/>
        <v/>
      </c>
      <c r="FN3" s="24" t="str">
        <f t="shared" si="3"/>
        <v/>
      </c>
      <c r="FO3" s="24" t="str">
        <f t="shared" si="3"/>
        <v/>
      </c>
      <c r="FP3" s="24" t="str">
        <f t="shared" si="3"/>
        <v/>
      </c>
      <c r="FQ3" s="24" t="str">
        <f t="shared" si="3"/>
        <v>Kw 24</v>
      </c>
      <c r="FR3" s="24" t="str">
        <f t="shared" si="3"/>
        <v/>
      </c>
      <c r="FS3" s="24" t="str">
        <f t="shared" si="3"/>
        <v/>
      </c>
      <c r="FT3" s="24" t="str">
        <f t="shared" si="3"/>
        <v/>
      </c>
      <c r="FU3" s="24" t="str">
        <f t="shared" si="3"/>
        <v/>
      </c>
      <c r="FV3" s="24" t="str">
        <f t="shared" si="3"/>
        <v/>
      </c>
      <c r="FW3" s="24" t="str">
        <f t="shared" si="3"/>
        <v/>
      </c>
      <c r="FX3" s="24" t="str">
        <f t="shared" si="3"/>
        <v>Kw 25</v>
      </c>
      <c r="FY3" s="24" t="str">
        <f t="shared" si="3"/>
        <v/>
      </c>
      <c r="FZ3" s="24" t="str">
        <f t="shared" si="3"/>
        <v/>
      </c>
      <c r="GA3" s="24" t="str">
        <f t="shared" si="3"/>
        <v/>
      </c>
      <c r="GB3" s="24" t="str">
        <f t="shared" si="3"/>
        <v/>
      </c>
      <c r="GC3" s="24" t="str">
        <f t="shared" si="3"/>
        <v/>
      </c>
      <c r="GD3" s="24" t="str">
        <f t="shared" si="3"/>
        <v/>
      </c>
      <c r="GE3" s="24" t="str">
        <f t="shared" si="3"/>
        <v>Kw 26</v>
      </c>
      <c r="GF3" s="24" t="str">
        <f t="shared" si="3"/>
        <v/>
      </c>
      <c r="GG3" s="24" t="str">
        <f t="shared" si="3"/>
        <v/>
      </c>
      <c r="GH3" s="24" t="str">
        <f t="shared" si="3"/>
        <v/>
      </c>
      <c r="GI3" s="24" t="str">
        <f t="shared" si="3"/>
        <v/>
      </c>
      <c r="GJ3" s="24" t="str">
        <f t="shared" si="3"/>
        <v/>
      </c>
      <c r="GK3" s="24" t="str">
        <f t="shared" si="3"/>
        <v/>
      </c>
      <c r="GL3" s="24" t="str">
        <f t="shared" si="3"/>
        <v>Kw 27</v>
      </c>
      <c r="GM3" s="24" t="str">
        <f t="shared" si="3"/>
        <v/>
      </c>
      <c r="GN3" s="24" t="str">
        <f t="shared" si="3"/>
        <v/>
      </c>
      <c r="GO3" s="24" t="str">
        <f t="shared" si="3"/>
        <v/>
      </c>
      <c r="GP3" s="24" t="str">
        <f t="shared" si="3"/>
        <v/>
      </c>
      <c r="GQ3" s="24" t="str">
        <f t="shared" si="3"/>
        <v/>
      </c>
      <c r="GR3" s="24" t="str">
        <f t="shared" ref="GR3:JC3" si="4">IF(GR5="Mi","Kw "&amp;WEEKNUM(GR4,21),"")</f>
        <v/>
      </c>
      <c r="GS3" s="24" t="str">
        <f t="shared" si="4"/>
        <v>Kw 28</v>
      </c>
      <c r="GT3" s="24" t="str">
        <f t="shared" si="4"/>
        <v/>
      </c>
      <c r="GU3" s="24" t="str">
        <f t="shared" si="4"/>
        <v/>
      </c>
      <c r="GV3" s="24" t="str">
        <f t="shared" si="4"/>
        <v/>
      </c>
      <c r="GW3" s="24" t="str">
        <f t="shared" si="4"/>
        <v/>
      </c>
      <c r="GX3" s="24" t="str">
        <f t="shared" si="4"/>
        <v/>
      </c>
      <c r="GY3" s="24" t="str">
        <f t="shared" si="4"/>
        <v/>
      </c>
      <c r="GZ3" s="24" t="str">
        <f t="shared" si="4"/>
        <v>Kw 29</v>
      </c>
      <c r="HA3" s="24" t="str">
        <f t="shared" si="4"/>
        <v/>
      </c>
      <c r="HB3" s="24" t="str">
        <f t="shared" si="4"/>
        <v/>
      </c>
      <c r="HC3" s="24" t="str">
        <f t="shared" si="4"/>
        <v/>
      </c>
      <c r="HD3" s="24" t="str">
        <f t="shared" si="4"/>
        <v/>
      </c>
      <c r="HE3" s="24" t="str">
        <f t="shared" si="4"/>
        <v/>
      </c>
      <c r="HF3" s="24" t="str">
        <f t="shared" si="4"/>
        <v/>
      </c>
      <c r="HG3" s="24" t="str">
        <f t="shared" si="4"/>
        <v>Kw 30</v>
      </c>
      <c r="HH3" s="24" t="str">
        <f t="shared" si="4"/>
        <v/>
      </c>
      <c r="HI3" s="24" t="str">
        <f t="shared" si="4"/>
        <v/>
      </c>
      <c r="HJ3" s="24" t="str">
        <f t="shared" si="4"/>
        <v/>
      </c>
      <c r="HK3" s="24" t="str">
        <f t="shared" si="4"/>
        <v/>
      </c>
      <c r="HL3" s="24" t="str">
        <f t="shared" si="4"/>
        <v/>
      </c>
      <c r="HM3" s="24" t="str">
        <f t="shared" si="4"/>
        <v/>
      </c>
      <c r="HN3" s="24" t="str">
        <f t="shared" si="4"/>
        <v>Kw 31</v>
      </c>
      <c r="HO3" s="24" t="str">
        <f t="shared" si="4"/>
        <v/>
      </c>
      <c r="HP3" s="24" t="str">
        <f t="shared" si="4"/>
        <v/>
      </c>
      <c r="HQ3" s="24" t="str">
        <f t="shared" si="4"/>
        <v/>
      </c>
      <c r="HR3" s="24" t="str">
        <f t="shared" si="4"/>
        <v/>
      </c>
      <c r="HS3" s="24" t="str">
        <f t="shared" si="4"/>
        <v/>
      </c>
      <c r="HT3" s="24" t="str">
        <f t="shared" si="4"/>
        <v/>
      </c>
      <c r="HU3" s="24" t="str">
        <f t="shared" si="4"/>
        <v>Kw 32</v>
      </c>
      <c r="HV3" s="24" t="str">
        <f t="shared" si="4"/>
        <v/>
      </c>
      <c r="HW3" s="24" t="str">
        <f t="shared" si="4"/>
        <v/>
      </c>
      <c r="HX3" s="24" t="str">
        <f t="shared" si="4"/>
        <v/>
      </c>
      <c r="HY3" s="24" t="str">
        <f t="shared" si="4"/>
        <v/>
      </c>
      <c r="HZ3" s="24" t="str">
        <f t="shared" si="4"/>
        <v/>
      </c>
      <c r="IA3" s="24" t="str">
        <f t="shared" si="4"/>
        <v/>
      </c>
      <c r="IB3" s="24" t="str">
        <f t="shared" si="4"/>
        <v>Kw 33</v>
      </c>
      <c r="IC3" s="24" t="str">
        <f t="shared" si="4"/>
        <v/>
      </c>
      <c r="ID3" s="24" t="str">
        <f t="shared" si="4"/>
        <v/>
      </c>
      <c r="IE3" s="24" t="str">
        <f t="shared" si="4"/>
        <v/>
      </c>
      <c r="IF3" s="24" t="str">
        <f t="shared" si="4"/>
        <v/>
      </c>
      <c r="IG3" s="24" t="str">
        <f t="shared" si="4"/>
        <v/>
      </c>
      <c r="IH3" s="24" t="str">
        <f t="shared" si="4"/>
        <v/>
      </c>
      <c r="II3" s="24" t="str">
        <f t="shared" si="4"/>
        <v>Kw 34</v>
      </c>
      <c r="IJ3" s="24" t="str">
        <f t="shared" si="4"/>
        <v/>
      </c>
      <c r="IK3" s="24" t="str">
        <f t="shared" si="4"/>
        <v/>
      </c>
      <c r="IL3" s="24" t="str">
        <f t="shared" si="4"/>
        <v/>
      </c>
      <c r="IM3" s="24" t="str">
        <f t="shared" si="4"/>
        <v/>
      </c>
      <c r="IN3" s="24" t="str">
        <f t="shared" si="4"/>
        <v/>
      </c>
      <c r="IO3" s="24" t="str">
        <f t="shared" si="4"/>
        <v/>
      </c>
      <c r="IP3" s="24" t="str">
        <f t="shared" si="4"/>
        <v>Kw 35</v>
      </c>
      <c r="IQ3" s="24" t="str">
        <f t="shared" si="4"/>
        <v/>
      </c>
      <c r="IR3" s="24" t="str">
        <f t="shared" si="4"/>
        <v/>
      </c>
      <c r="IS3" s="24" t="str">
        <f t="shared" si="4"/>
        <v/>
      </c>
      <c r="IT3" s="24" t="str">
        <f t="shared" si="4"/>
        <v/>
      </c>
      <c r="IU3" s="24" t="str">
        <f t="shared" si="4"/>
        <v/>
      </c>
      <c r="IV3" s="24" t="str">
        <f t="shared" si="4"/>
        <v/>
      </c>
      <c r="IW3" s="24" t="str">
        <f t="shared" si="4"/>
        <v>Kw 36</v>
      </c>
      <c r="IX3" s="24" t="str">
        <f t="shared" si="4"/>
        <v/>
      </c>
      <c r="IY3" s="24" t="str">
        <f t="shared" si="4"/>
        <v/>
      </c>
      <c r="IZ3" s="24" t="str">
        <f t="shared" si="4"/>
        <v/>
      </c>
      <c r="JA3" s="24" t="str">
        <f t="shared" si="4"/>
        <v/>
      </c>
      <c r="JB3" s="24" t="str">
        <f t="shared" si="4"/>
        <v/>
      </c>
      <c r="JC3" s="24" t="str">
        <f t="shared" si="4"/>
        <v/>
      </c>
      <c r="JD3" s="24" t="str">
        <f t="shared" ref="JD3:LO3" si="5">IF(JD5="Mi","Kw "&amp;WEEKNUM(JD4,21),"")</f>
        <v>Kw 37</v>
      </c>
      <c r="JE3" s="24" t="str">
        <f t="shared" si="5"/>
        <v/>
      </c>
      <c r="JF3" s="24" t="str">
        <f t="shared" si="5"/>
        <v/>
      </c>
      <c r="JG3" s="24" t="str">
        <f t="shared" si="5"/>
        <v/>
      </c>
      <c r="JH3" s="24" t="str">
        <f t="shared" si="5"/>
        <v/>
      </c>
      <c r="JI3" s="24" t="str">
        <f t="shared" si="5"/>
        <v/>
      </c>
      <c r="JJ3" s="24" t="str">
        <f t="shared" si="5"/>
        <v/>
      </c>
      <c r="JK3" s="24" t="str">
        <f t="shared" si="5"/>
        <v>Kw 38</v>
      </c>
      <c r="JL3" s="24" t="str">
        <f t="shared" si="5"/>
        <v/>
      </c>
      <c r="JM3" s="24" t="str">
        <f t="shared" si="5"/>
        <v/>
      </c>
      <c r="JN3" s="24" t="str">
        <f t="shared" si="5"/>
        <v/>
      </c>
      <c r="JO3" s="24" t="str">
        <f t="shared" si="5"/>
        <v/>
      </c>
      <c r="JP3" s="24" t="str">
        <f t="shared" si="5"/>
        <v/>
      </c>
      <c r="JQ3" s="24" t="str">
        <f t="shared" si="5"/>
        <v/>
      </c>
      <c r="JR3" s="24" t="str">
        <f t="shared" si="5"/>
        <v>Kw 39</v>
      </c>
      <c r="JS3" s="24" t="str">
        <f t="shared" si="5"/>
        <v/>
      </c>
      <c r="JT3" s="24" t="str">
        <f t="shared" si="5"/>
        <v/>
      </c>
      <c r="JU3" s="24" t="str">
        <f t="shared" si="5"/>
        <v/>
      </c>
      <c r="JV3" s="24" t="str">
        <f t="shared" si="5"/>
        <v/>
      </c>
      <c r="JW3" s="24" t="str">
        <f t="shared" si="5"/>
        <v/>
      </c>
      <c r="JX3" s="24" t="str">
        <f t="shared" si="5"/>
        <v/>
      </c>
      <c r="JY3" s="24" t="str">
        <f t="shared" si="5"/>
        <v>Kw 40</v>
      </c>
      <c r="JZ3" s="24" t="str">
        <f t="shared" si="5"/>
        <v/>
      </c>
      <c r="KA3" s="24" t="str">
        <f t="shared" si="5"/>
        <v/>
      </c>
      <c r="KB3" s="24" t="str">
        <f t="shared" si="5"/>
        <v/>
      </c>
      <c r="KC3" s="24" t="str">
        <f t="shared" si="5"/>
        <v/>
      </c>
      <c r="KD3" s="24" t="str">
        <f t="shared" si="5"/>
        <v/>
      </c>
      <c r="KE3" s="24" t="str">
        <f t="shared" si="5"/>
        <v/>
      </c>
      <c r="KF3" s="24" t="str">
        <f t="shared" si="5"/>
        <v>Kw 41</v>
      </c>
      <c r="KG3" s="24" t="str">
        <f t="shared" si="5"/>
        <v/>
      </c>
      <c r="KH3" s="24" t="str">
        <f t="shared" si="5"/>
        <v/>
      </c>
      <c r="KI3" s="24" t="str">
        <f t="shared" si="5"/>
        <v/>
      </c>
      <c r="KJ3" s="24" t="str">
        <f t="shared" si="5"/>
        <v/>
      </c>
      <c r="KK3" s="24" t="str">
        <f t="shared" si="5"/>
        <v/>
      </c>
      <c r="KL3" s="24" t="str">
        <f t="shared" si="5"/>
        <v/>
      </c>
      <c r="KM3" s="24" t="str">
        <f t="shared" si="5"/>
        <v>Kw 42</v>
      </c>
      <c r="KN3" s="24" t="str">
        <f t="shared" si="5"/>
        <v/>
      </c>
      <c r="KO3" s="24" t="str">
        <f t="shared" si="5"/>
        <v/>
      </c>
      <c r="KP3" s="24" t="str">
        <f t="shared" si="5"/>
        <v/>
      </c>
      <c r="KQ3" s="24" t="str">
        <f t="shared" si="5"/>
        <v/>
      </c>
      <c r="KR3" s="24" t="str">
        <f t="shared" si="5"/>
        <v/>
      </c>
      <c r="KS3" s="24" t="str">
        <f t="shared" si="5"/>
        <v/>
      </c>
      <c r="KT3" s="24" t="str">
        <f t="shared" si="5"/>
        <v>Kw 43</v>
      </c>
      <c r="KU3" s="24" t="str">
        <f t="shared" si="5"/>
        <v/>
      </c>
      <c r="KV3" s="24" t="str">
        <f t="shared" si="5"/>
        <v/>
      </c>
      <c r="KW3" s="24" t="str">
        <f t="shared" si="5"/>
        <v/>
      </c>
      <c r="KX3" s="24" t="str">
        <f t="shared" si="5"/>
        <v/>
      </c>
      <c r="KY3" s="24" t="str">
        <f t="shared" si="5"/>
        <v/>
      </c>
      <c r="KZ3" s="24" t="str">
        <f t="shared" si="5"/>
        <v/>
      </c>
      <c r="LA3" s="24" t="str">
        <f t="shared" si="5"/>
        <v>Kw 44</v>
      </c>
      <c r="LB3" s="24" t="str">
        <f t="shared" si="5"/>
        <v/>
      </c>
      <c r="LC3" s="24" t="str">
        <f t="shared" si="5"/>
        <v/>
      </c>
      <c r="LD3" s="24" t="str">
        <f t="shared" si="5"/>
        <v/>
      </c>
      <c r="LE3" s="24" t="str">
        <f t="shared" si="5"/>
        <v/>
      </c>
      <c r="LF3" s="24" t="str">
        <f t="shared" si="5"/>
        <v/>
      </c>
      <c r="LG3" s="24" t="str">
        <f t="shared" si="5"/>
        <v/>
      </c>
      <c r="LH3" s="24" t="str">
        <f t="shared" si="5"/>
        <v>Kw 45</v>
      </c>
      <c r="LI3" s="24" t="str">
        <f t="shared" si="5"/>
        <v/>
      </c>
      <c r="LJ3" s="24" t="str">
        <f t="shared" si="5"/>
        <v/>
      </c>
      <c r="LK3" s="24" t="str">
        <f t="shared" si="5"/>
        <v/>
      </c>
      <c r="LL3" s="24" t="str">
        <f t="shared" si="5"/>
        <v/>
      </c>
      <c r="LM3" s="24" t="str">
        <f t="shared" si="5"/>
        <v/>
      </c>
      <c r="LN3" s="24" t="str">
        <f t="shared" si="5"/>
        <v/>
      </c>
      <c r="LO3" s="24" t="str">
        <f t="shared" si="5"/>
        <v>Kw 46</v>
      </c>
      <c r="LP3" s="24" t="str">
        <f t="shared" ref="LP3:NH3" si="6">IF(LP5="Mi","Kw "&amp;WEEKNUM(LP4,21),"")</f>
        <v/>
      </c>
      <c r="LQ3" s="24" t="str">
        <f t="shared" si="6"/>
        <v/>
      </c>
      <c r="LR3" s="24" t="str">
        <f t="shared" si="6"/>
        <v/>
      </c>
      <c r="LS3" s="24" t="str">
        <f t="shared" si="6"/>
        <v/>
      </c>
      <c r="LT3" s="24" t="str">
        <f t="shared" si="6"/>
        <v/>
      </c>
      <c r="LU3" s="24" t="str">
        <f t="shared" si="6"/>
        <v/>
      </c>
      <c r="LV3" s="24" t="str">
        <f t="shared" si="6"/>
        <v>Kw 47</v>
      </c>
      <c r="LW3" s="24" t="str">
        <f t="shared" si="6"/>
        <v/>
      </c>
      <c r="LX3" s="24" t="str">
        <f t="shared" si="6"/>
        <v/>
      </c>
      <c r="LY3" s="24" t="str">
        <f t="shared" si="6"/>
        <v/>
      </c>
      <c r="LZ3" s="24" t="str">
        <f t="shared" si="6"/>
        <v/>
      </c>
      <c r="MA3" s="24" t="str">
        <f t="shared" si="6"/>
        <v/>
      </c>
      <c r="MB3" s="24" t="str">
        <f t="shared" si="6"/>
        <v/>
      </c>
      <c r="MC3" s="24" t="str">
        <f t="shared" si="6"/>
        <v>Kw 48</v>
      </c>
      <c r="MD3" s="24" t="str">
        <f t="shared" si="6"/>
        <v/>
      </c>
      <c r="ME3" s="24" t="str">
        <f t="shared" si="6"/>
        <v/>
      </c>
      <c r="MF3" s="24" t="str">
        <f t="shared" si="6"/>
        <v/>
      </c>
      <c r="MG3" s="24" t="str">
        <f t="shared" si="6"/>
        <v/>
      </c>
      <c r="MH3" s="24" t="str">
        <f t="shared" si="6"/>
        <v/>
      </c>
      <c r="MI3" s="24" t="str">
        <f t="shared" si="6"/>
        <v/>
      </c>
      <c r="MJ3" s="24" t="str">
        <f t="shared" si="6"/>
        <v>Kw 49</v>
      </c>
      <c r="MK3" s="24" t="str">
        <f t="shared" si="6"/>
        <v/>
      </c>
      <c r="ML3" s="24" t="str">
        <f t="shared" si="6"/>
        <v/>
      </c>
      <c r="MM3" s="24" t="str">
        <f t="shared" si="6"/>
        <v/>
      </c>
      <c r="MN3" s="24" t="str">
        <f t="shared" si="6"/>
        <v/>
      </c>
      <c r="MO3" s="24" t="str">
        <f t="shared" si="6"/>
        <v/>
      </c>
      <c r="MP3" s="24" t="str">
        <f t="shared" si="6"/>
        <v/>
      </c>
      <c r="MQ3" s="24" t="str">
        <f t="shared" si="6"/>
        <v>Kw 50</v>
      </c>
      <c r="MR3" s="24" t="str">
        <f t="shared" si="6"/>
        <v/>
      </c>
      <c r="MS3" s="24" t="str">
        <f t="shared" si="6"/>
        <v/>
      </c>
      <c r="MT3" s="24" t="str">
        <f t="shared" si="6"/>
        <v/>
      </c>
      <c r="MU3" s="24" t="str">
        <f t="shared" si="6"/>
        <v/>
      </c>
      <c r="MV3" s="24" t="str">
        <f t="shared" si="6"/>
        <v/>
      </c>
      <c r="MW3" s="24" t="str">
        <f t="shared" si="6"/>
        <v/>
      </c>
      <c r="MX3" s="24" t="str">
        <f t="shared" si="6"/>
        <v>Kw 51</v>
      </c>
      <c r="MY3" s="24" t="str">
        <f t="shared" si="6"/>
        <v/>
      </c>
      <c r="MZ3" s="24" t="str">
        <f t="shared" si="6"/>
        <v/>
      </c>
      <c r="NA3" s="24" t="str">
        <f t="shared" si="6"/>
        <v/>
      </c>
      <c r="NB3" s="24" t="str">
        <f t="shared" si="6"/>
        <v/>
      </c>
      <c r="NC3" s="24" t="str">
        <f t="shared" si="6"/>
        <v/>
      </c>
      <c r="ND3" s="24" t="str">
        <f t="shared" si="6"/>
        <v/>
      </c>
      <c r="NE3" s="24" t="str">
        <f t="shared" si="6"/>
        <v>Kw 52</v>
      </c>
      <c r="NF3" s="24" t="str">
        <f t="shared" si="6"/>
        <v/>
      </c>
      <c r="NG3" s="24" t="str">
        <f t="shared" si="6"/>
        <v/>
      </c>
      <c r="NH3" s="24" t="str">
        <f t="shared" si="6"/>
        <v/>
      </c>
      <c r="NI3" s="24"/>
    </row>
    <row r="4" spans="1:375" s="21" customFormat="1" x14ac:dyDescent="0.2">
      <c r="A4" s="17"/>
      <c r="B4" s="18"/>
      <c r="C4" s="70" t="s">
        <v>475</v>
      </c>
      <c r="D4" s="18"/>
      <c r="E4" s="19"/>
      <c r="F4" s="41"/>
      <c r="G4" s="20">
        <f>DATE($C$6,1,1)</f>
        <v>46388</v>
      </c>
      <c r="H4" s="20">
        <f>G4+1</f>
        <v>46389</v>
      </c>
      <c r="I4" s="20">
        <f>H4+1</f>
        <v>46390</v>
      </c>
      <c r="J4" s="20">
        <f t="shared" ref="J4:S4" si="7">I4+1</f>
        <v>46391</v>
      </c>
      <c r="K4" s="20">
        <f t="shared" si="7"/>
        <v>46392</v>
      </c>
      <c r="L4" s="20">
        <f t="shared" si="7"/>
        <v>46393</v>
      </c>
      <c r="M4" s="20">
        <f t="shared" si="7"/>
        <v>46394</v>
      </c>
      <c r="N4" s="20">
        <f t="shared" si="7"/>
        <v>46395</v>
      </c>
      <c r="O4" s="20">
        <f t="shared" si="7"/>
        <v>46396</v>
      </c>
      <c r="P4" s="20">
        <f t="shared" si="7"/>
        <v>46397</v>
      </c>
      <c r="Q4" s="20">
        <f t="shared" si="7"/>
        <v>46398</v>
      </c>
      <c r="R4" s="20">
        <f t="shared" si="7"/>
        <v>46399</v>
      </c>
      <c r="S4" s="20">
        <f t="shared" si="7"/>
        <v>46400</v>
      </c>
      <c r="T4" s="20">
        <f t="shared" ref="T4:CE4" si="8">S4+1</f>
        <v>46401</v>
      </c>
      <c r="U4" s="20">
        <f t="shared" si="8"/>
        <v>46402</v>
      </c>
      <c r="V4" s="20">
        <f t="shared" si="8"/>
        <v>46403</v>
      </c>
      <c r="W4" s="20">
        <f t="shared" si="8"/>
        <v>46404</v>
      </c>
      <c r="X4" s="20">
        <f t="shared" si="8"/>
        <v>46405</v>
      </c>
      <c r="Y4" s="20">
        <f t="shared" si="8"/>
        <v>46406</v>
      </c>
      <c r="Z4" s="20">
        <f t="shared" si="8"/>
        <v>46407</v>
      </c>
      <c r="AA4" s="20">
        <f t="shared" si="8"/>
        <v>46408</v>
      </c>
      <c r="AB4" s="20">
        <f t="shared" si="8"/>
        <v>46409</v>
      </c>
      <c r="AC4" s="20">
        <f t="shared" si="8"/>
        <v>46410</v>
      </c>
      <c r="AD4" s="20">
        <f t="shared" si="8"/>
        <v>46411</v>
      </c>
      <c r="AE4" s="20">
        <f t="shared" si="8"/>
        <v>46412</v>
      </c>
      <c r="AF4" s="20">
        <f t="shared" si="8"/>
        <v>46413</v>
      </c>
      <c r="AG4" s="20">
        <f t="shared" si="8"/>
        <v>46414</v>
      </c>
      <c r="AH4" s="20">
        <f t="shared" si="8"/>
        <v>46415</v>
      </c>
      <c r="AI4" s="20">
        <f t="shared" si="8"/>
        <v>46416</v>
      </c>
      <c r="AJ4" s="20">
        <f t="shared" si="8"/>
        <v>46417</v>
      </c>
      <c r="AK4" s="20">
        <f t="shared" si="8"/>
        <v>46418</v>
      </c>
      <c r="AL4" s="20">
        <f t="shared" si="8"/>
        <v>46419</v>
      </c>
      <c r="AM4" s="20">
        <f t="shared" si="8"/>
        <v>46420</v>
      </c>
      <c r="AN4" s="20">
        <f t="shared" si="8"/>
        <v>46421</v>
      </c>
      <c r="AO4" s="20">
        <f t="shared" si="8"/>
        <v>46422</v>
      </c>
      <c r="AP4" s="20">
        <f t="shared" si="8"/>
        <v>46423</v>
      </c>
      <c r="AQ4" s="20">
        <f t="shared" si="8"/>
        <v>46424</v>
      </c>
      <c r="AR4" s="20">
        <f t="shared" si="8"/>
        <v>46425</v>
      </c>
      <c r="AS4" s="20">
        <f t="shared" si="8"/>
        <v>46426</v>
      </c>
      <c r="AT4" s="20">
        <f t="shared" si="8"/>
        <v>46427</v>
      </c>
      <c r="AU4" s="20">
        <f t="shared" si="8"/>
        <v>46428</v>
      </c>
      <c r="AV4" s="20">
        <f t="shared" si="8"/>
        <v>46429</v>
      </c>
      <c r="AW4" s="20">
        <f t="shared" si="8"/>
        <v>46430</v>
      </c>
      <c r="AX4" s="20">
        <f t="shared" si="8"/>
        <v>46431</v>
      </c>
      <c r="AY4" s="20">
        <f t="shared" si="8"/>
        <v>46432</v>
      </c>
      <c r="AZ4" s="20">
        <f t="shared" si="8"/>
        <v>46433</v>
      </c>
      <c r="BA4" s="20">
        <f t="shared" si="8"/>
        <v>46434</v>
      </c>
      <c r="BB4" s="20">
        <f t="shared" si="8"/>
        <v>46435</v>
      </c>
      <c r="BC4" s="20">
        <f t="shared" si="8"/>
        <v>46436</v>
      </c>
      <c r="BD4" s="20">
        <f t="shared" si="8"/>
        <v>46437</v>
      </c>
      <c r="BE4" s="20">
        <f t="shared" si="8"/>
        <v>46438</v>
      </c>
      <c r="BF4" s="20">
        <f t="shared" si="8"/>
        <v>46439</v>
      </c>
      <c r="BG4" s="20">
        <f t="shared" si="8"/>
        <v>46440</v>
      </c>
      <c r="BH4" s="20">
        <f t="shared" si="8"/>
        <v>46441</v>
      </c>
      <c r="BI4" s="20">
        <f t="shared" si="8"/>
        <v>46442</v>
      </c>
      <c r="BJ4" s="20">
        <f t="shared" si="8"/>
        <v>46443</v>
      </c>
      <c r="BK4" s="20">
        <f t="shared" si="8"/>
        <v>46444</v>
      </c>
      <c r="BL4" s="20">
        <f t="shared" si="8"/>
        <v>46445</v>
      </c>
      <c r="BM4" s="20">
        <f t="shared" si="8"/>
        <v>46446</v>
      </c>
      <c r="BN4" s="20">
        <f t="shared" si="8"/>
        <v>46447</v>
      </c>
      <c r="BO4" s="20">
        <f t="shared" si="8"/>
        <v>46448</v>
      </c>
      <c r="BP4" s="20">
        <f t="shared" si="8"/>
        <v>46449</v>
      </c>
      <c r="BQ4" s="20">
        <f t="shared" si="8"/>
        <v>46450</v>
      </c>
      <c r="BR4" s="20">
        <f t="shared" si="8"/>
        <v>46451</v>
      </c>
      <c r="BS4" s="20">
        <f t="shared" si="8"/>
        <v>46452</v>
      </c>
      <c r="BT4" s="20">
        <f t="shared" si="8"/>
        <v>46453</v>
      </c>
      <c r="BU4" s="20">
        <f t="shared" si="8"/>
        <v>46454</v>
      </c>
      <c r="BV4" s="20">
        <f t="shared" si="8"/>
        <v>46455</v>
      </c>
      <c r="BW4" s="20">
        <f t="shared" si="8"/>
        <v>46456</v>
      </c>
      <c r="BX4" s="20">
        <f t="shared" si="8"/>
        <v>46457</v>
      </c>
      <c r="BY4" s="20">
        <f t="shared" si="8"/>
        <v>46458</v>
      </c>
      <c r="BZ4" s="20">
        <f t="shared" si="8"/>
        <v>46459</v>
      </c>
      <c r="CA4" s="20">
        <f t="shared" si="8"/>
        <v>46460</v>
      </c>
      <c r="CB4" s="20">
        <f t="shared" si="8"/>
        <v>46461</v>
      </c>
      <c r="CC4" s="20">
        <f t="shared" si="8"/>
        <v>46462</v>
      </c>
      <c r="CD4" s="20">
        <f t="shared" si="8"/>
        <v>46463</v>
      </c>
      <c r="CE4" s="20">
        <f t="shared" si="8"/>
        <v>46464</v>
      </c>
      <c r="CF4" s="20">
        <f t="shared" ref="CF4:EQ4" si="9">CE4+1</f>
        <v>46465</v>
      </c>
      <c r="CG4" s="20">
        <f t="shared" si="9"/>
        <v>46466</v>
      </c>
      <c r="CH4" s="20">
        <f t="shared" si="9"/>
        <v>46467</v>
      </c>
      <c r="CI4" s="20">
        <f t="shared" si="9"/>
        <v>46468</v>
      </c>
      <c r="CJ4" s="20">
        <f t="shared" si="9"/>
        <v>46469</v>
      </c>
      <c r="CK4" s="20">
        <f t="shared" si="9"/>
        <v>46470</v>
      </c>
      <c r="CL4" s="20">
        <f t="shared" si="9"/>
        <v>46471</v>
      </c>
      <c r="CM4" s="20">
        <f t="shared" si="9"/>
        <v>46472</v>
      </c>
      <c r="CN4" s="20">
        <f t="shared" si="9"/>
        <v>46473</v>
      </c>
      <c r="CO4" s="20">
        <f t="shared" si="9"/>
        <v>46474</v>
      </c>
      <c r="CP4" s="20">
        <f t="shared" si="9"/>
        <v>46475</v>
      </c>
      <c r="CQ4" s="20">
        <f t="shared" si="9"/>
        <v>46476</v>
      </c>
      <c r="CR4" s="20">
        <f t="shared" si="9"/>
        <v>46477</v>
      </c>
      <c r="CS4" s="20">
        <f t="shared" si="9"/>
        <v>46478</v>
      </c>
      <c r="CT4" s="20">
        <f t="shared" si="9"/>
        <v>46479</v>
      </c>
      <c r="CU4" s="20">
        <f t="shared" si="9"/>
        <v>46480</v>
      </c>
      <c r="CV4" s="20">
        <f t="shared" si="9"/>
        <v>46481</v>
      </c>
      <c r="CW4" s="20">
        <f t="shared" si="9"/>
        <v>46482</v>
      </c>
      <c r="CX4" s="20">
        <f t="shared" si="9"/>
        <v>46483</v>
      </c>
      <c r="CY4" s="20">
        <f t="shared" si="9"/>
        <v>46484</v>
      </c>
      <c r="CZ4" s="20">
        <f t="shared" si="9"/>
        <v>46485</v>
      </c>
      <c r="DA4" s="20">
        <f t="shared" si="9"/>
        <v>46486</v>
      </c>
      <c r="DB4" s="20">
        <f t="shared" si="9"/>
        <v>46487</v>
      </c>
      <c r="DC4" s="20">
        <f t="shared" si="9"/>
        <v>46488</v>
      </c>
      <c r="DD4" s="20">
        <f t="shared" si="9"/>
        <v>46489</v>
      </c>
      <c r="DE4" s="20">
        <f t="shared" si="9"/>
        <v>46490</v>
      </c>
      <c r="DF4" s="20">
        <f t="shared" si="9"/>
        <v>46491</v>
      </c>
      <c r="DG4" s="20">
        <f t="shared" si="9"/>
        <v>46492</v>
      </c>
      <c r="DH4" s="20">
        <f t="shared" si="9"/>
        <v>46493</v>
      </c>
      <c r="DI4" s="20">
        <f t="shared" si="9"/>
        <v>46494</v>
      </c>
      <c r="DJ4" s="20">
        <f t="shared" si="9"/>
        <v>46495</v>
      </c>
      <c r="DK4" s="20">
        <f t="shared" si="9"/>
        <v>46496</v>
      </c>
      <c r="DL4" s="20">
        <f t="shared" si="9"/>
        <v>46497</v>
      </c>
      <c r="DM4" s="20">
        <f t="shared" si="9"/>
        <v>46498</v>
      </c>
      <c r="DN4" s="20">
        <f t="shared" si="9"/>
        <v>46499</v>
      </c>
      <c r="DO4" s="20">
        <f t="shared" si="9"/>
        <v>46500</v>
      </c>
      <c r="DP4" s="20">
        <f t="shared" si="9"/>
        <v>46501</v>
      </c>
      <c r="DQ4" s="20">
        <f t="shared" si="9"/>
        <v>46502</v>
      </c>
      <c r="DR4" s="20">
        <f t="shared" si="9"/>
        <v>46503</v>
      </c>
      <c r="DS4" s="20">
        <f t="shared" si="9"/>
        <v>46504</v>
      </c>
      <c r="DT4" s="20">
        <f t="shared" si="9"/>
        <v>46505</v>
      </c>
      <c r="DU4" s="20">
        <f t="shared" si="9"/>
        <v>46506</v>
      </c>
      <c r="DV4" s="20">
        <f t="shared" si="9"/>
        <v>46507</v>
      </c>
      <c r="DW4" s="20">
        <f t="shared" si="9"/>
        <v>46508</v>
      </c>
      <c r="DX4" s="20">
        <f t="shared" si="9"/>
        <v>46509</v>
      </c>
      <c r="DY4" s="20">
        <f t="shared" si="9"/>
        <v>46510</v>
      </c>
      <c r="DZ4" s="20">
        <f t="shared" si="9"/>
        <v>46511</v>
      </c>
      <c r="EA4" s="20">
        <f t="shared" si="9"/>
        <v>46512</v>
      </c>
      <c r="EB4" s="20">
        <f t="shared" si="9"/>
        <v>46513</v>
      </c>
      <c r="EC4" s="20">
        <f t="shared" si="9"/>
        <v>46514</v>
      </c>
      <c r="ED4" s="20">
        <f t="shared" si="9"/>
        <v>46515</v>
      </c>
      <c r="EE4" s="20">
        <f t="shared" si="9"/>
        <v>46516</v>
      </c>
      <c r="EF4" s="20">
        <f t="shared" si="9"/>
        <v>46517</v>
      </c>
      <c r="EG4" s="20">
        <f t="shared" si="9"/>
        <v>46518</v>
      </c>
      <c r="EH4" s="20">
        <f t="shared" si="9"/>
        <v>46519</v>
      </c>
      <c r="EI4" s="20">
        <f t="shared" si="9"/>
        <v>46520</v>
      </c>
      <c r="EJ4" s="20">
        <f t="shared" si="9"/>
        <v>46521</v>
      </c>
      <c r="EK4" s="20">
        <f t="shared" si="9"/>
        <v>46522</v>
      </c>
      <c r="EL4" s="20">
        <f t="shared" si="9"/>
        <v>46523</v>
      </c>
      <c r="EM4" s="20">
        <f t="shared" si="9"/>
        <v>46524</v>
      </c>
      <c r="EN4" s="20">
        <f t="shared" si="9"/>
        <v>46525</v>
      </c>
      <c r="EO4" s="20">
        <f t="shared" si="9"/>
        <v>46526</v>
      </c>
      <c r="EP4" s="20">
        <f t="shared" si="9"/>
        <v>46527</v>
      </c>
      <c r="EQ4" s="20">
        <f t="shared" si="9"/>
        <v>46528</v>
      </c>
      <c r="ER4" s="20">
        <f t="shared" ref="ER4:GT4" si="10">EQ4+1</f>
        <v>46529</v>
      </c>
      <c r="ES4" s="20">
        <f t="shared" si="10"/>
        <v>46530</v>
      </c>
      <c r="ET4" s="20">
        <f t="shared" si="10"/>
        <v>46531</v>
      </c>
      <c r="EU4" s="20">
        <f t="shared" si="10"/>
        <v>46532</v>
      </c>
      <c r="EV4" s="20">
        <f t="shared" si="10"/>
        <v>46533</v>
      </c>
      <c r="EW4" s="20">
        <f t="shared" si="10"/>
        <v>46534</v>
      </c>
      <c r="EX4" s="20">
        <f t="shared" si="10"/>
        <v>46535</v>
      </c>
      <c r="EY4" s="20">
        <f t="shared" si="10"/>
        <v>46536</v>
      </c>
      <c r="EZ4" s="20">
        <f t="shared" si="10"/>
        <v>46537</v>
      </c>
      <c r="FA4" s="20">
        <f t="shared" si="10"/>
        <v>46538</v>
      </c>
      <c r="FB4" s="20">
        <f t="shared" si="10"/>
        <v>46539</v>
      </c>
      <c r="FC4" s="20">
        <f t="shared" si="10"/>
        <v>46540</v>
      </c>
      <c r="FD4" s="20">
        <f t="shared" si="10"/>
        <v>46541</v>
      </c>
      <c r="FE4" s="20">
        <f t="shared" si="10"/>
        <v>46542</v>
      </c>
      <c r="FF4" s="20">
        <f t="shared" si="10"/>
        <v>46543</v>
      </c>
      <c r="FG4" s="20">
        <f t="shared" si="10"/>
        <v>46544</v>
      </c>
      <c r="FH4" s="20">
        <f t="shared" si="10"/>
        <v>46545</v>
      </c>
      <c r="FI4" s="20">
        <f t="shared" si="10"/>
        <v>46546</v>
      </c>
      <c r="FJ4" s="20">
        <f t="shared" si="10"/>
        <v>46547</v>
      </c>
      <c r="FK4" s="20">
        <f t="shared" si="10"/>
        <v>46548</v>
      </c>
      <c r="FL4" s="20">
        <f t="shared" si="10"/>
        <v>46549</v>
      </c>
      <c r="FM4" s="20">
        <f t="shared" si="10"/>
        <v>46550</v>
      </c>
      <c r="FN4" s="20">
        <f t="shared" si="10"/>
        <v>46551</v>
      </c>
      <c r="FO4" s="20">
        <f t="shared" si="10"/>
        <v>46552</v>
      </c>
      <c r="FP4" s="20">
        <f t="shared" si="10"/>
        <v>46553</v>
      </c>
      <c r="FQ4" s="20">
        <f t="shared" si="10"/>
        <v>46554</v>
      </c>
      <c r="FR4" s="20">
        <f t="shared" si="10"/>
        <v>46555</v>
      </c>
      <c r="FS4" s="20">
        <f t="shared" si="10"/>
        <v>46556</v>
      </c>
      <c r="FT4" s="20">
        <f t="shared" si="10"/>
        <v>46557</v>
      </c>
      <c r="FU4" s="20">
        <f t="shared" si="10"/>
        <v>46558</v>
      </c>
      <c r="FV4" s="20">
        <f t="shared" si="10"/>
        <v>46559</v>
      </c>
      <c r="FW4" s="20">
        <f t="shared" si="10"/>
        <v>46560</v>
      </c>
      <c r="FX4" s="20">
        <f t="shared" si="10"/>
        <v>46561</v>
      </c>
      <c r="FY4" s="20">
        <f t="shared" si="10"/>
        <v>46562</v>
      </c>
      <c r="FZ4" s="20">
        <f t="shared" si="10"/>
        <v>46563</v>
      </c>
      <c r="GA4" s="20">
        <f t="shared" si="10"/>
        <v>46564</v>
      </c>
      <c r="GB4" s="20">
        <f t="shared" si="10"/>
        <v>46565</v>
      </c>
      <c r="GC4" s="20">
        <f t="shared" si="10"/>
        <v>46566</v>
      </c>
      <c r="GD4" s="20">
        <f t="shared" si="10"/>
        <v>46567</v>
      </c>
      <c r="GE4" s="20">
        <f t="shared" si="10"/>
        <v>46568</v>
      </c>
      <c r="GF4" s="20">
        <f t="shared" si="10"/>
        <v>46569</v>
      </c>
      <c r="GG4" s="20">
        <f t="shared" si="10"/>
        <v>46570</v>
      </c>
      <c r="GH4" s="20">
        <f t="shared" si="10"/>
        <v>46571</v>
      </c>
      <c r="GI4" s="20">
        <f t="shared" si="10"/>
        <v>46572</v>
      </c>
      <c r="GJ4" s="20">
        <f t="shared" si="10"/>
        <v>46573</v>
      </c>
      <c r="GK4" s="20">
        <f t="shared" si="10"/>
        <v>46574</v>
      </c>
      <c r="GL4" s="20">
        <f t="shared" si="10"/>
        <v>46575</v>
      </c>
      <c r="GM4" s="20">
        <f t="shared" si="10"/>
        <v>46576</v>
      </c>
      <c r="GN4" s="20">
        <f t="shared" si="10"/>
        <v>46577</v>
      </c>
      <c r="GO4" s="20">
        <f t="shared" si="10"/>
        <v>46578</v>
      </c>
      <c r="GP4" s="20">
        <f t="shared" si="10"/>
        <v>46579</v>
      </c>
      <c r="GQ4" s="20">
        <f t="shared" si="10"/>
        <v>46580</v>
      </c>
      <c r="GR4" s="20">
        <f t="shared" si="10"/>
        <v>46581</v>
      </c>
      <c r="GS4" s="20">
        <f t="shared" si="10"/>
        <v>46582</v>
      </c>
      <c r="GT4" s="20">
        <f t="shared" si="10"/>
        <v>46583</v>
      </c>
      <c r="GU4" s="20">
        <f t="shared" ref="GU4" si="11">GT4+1</f>
        <v>46584</v>
      </c>
      <c r="GV4" s="20">
        <f t="shared" ref="GV4" si="12">GU4+1</f>
        <v>46585</v>
      </c>
      <c r="GW4" s="20">
        <f t="shared" ref="GW4" si="13">GV4+1</f>
        <v>46586</v>
      </c>
      <c r="GX4" s="20">
        <f t="shared" ref="GX4" si="14">GW4+1</f>
        <v>46587</v>
      </c>
      <c r="GY4" s="20">
        <f t="shared" ref="GY4" si="15">GX4+1</f>
        <v>46588</v>
      </c>
      <c r="GZ4" s="20">
        <f t="shared" ref="GZ4" si="16">GY4+1</f>
        <v>46589</v>
      </c>
      <c r="HA4" s="20">
        <f t="shared" ref="HA4" si="17">GZ4+1</f>
        <v>46590</v>
      </c>
      <c r="HB4" s="20">
        <f t="shared" ref="HB4" si="18">HA4+1</f>
        <v>46591</v>
      </c>
      <c r="HC4" s="20">
        <f t="shared" ref="HC4" si="19">HB4+1</f>
        <v>46592</v>
      </c>
      <c r="HD4" s="20">
        <f t="shared" ref="HD4" si="20">HC4+1</f>
        <v>46593</v>
      </c>
      <c r="HE4" s="20">
        <f t="shared" ref="HE4" si="21">HD4+1</f>
        <v>46594</v>
      </c>
      <c r="HF4" s="20">
        <f t="shared" ref="HF4" si="22">HE4+1</f>
        <v>46595</v>
      </c>
      <c r="HG4" s="20">
        <f t="shared" ref="HG4" si="23">HF4+1</f>
        <v>46596</v>
      </c>
      <c r="HH4" s="20">
        <f t="shared" ref="HH4" si="24">HG4+1</f>
        <v>46597</v>
      </c>
      <c r="HI4" s="20">
        <f t="shared" ref="HI4" si="25">HH4+1</f>
        <v>46598</v>
      </c>
      <c r="HJ4" s="20">
        <f t="shared" ref="HJ4" si="26">HI4+1</f>
        <v>46599</v>
      </c>
      <c r="HK4" s="20">
        <f t="shared" ref="HK4" si="27">HJ4+1</f>
        <v>46600</v>
      </c>
      <c r="HL4" s="20">
        <f t="shared" ref="HL4" si="28">HK4+1</f>
        <v>46601</v>
      </c>
      <c r="HM4" s="20">
        <f t="shared" ref="HM4" si="29">HL4+1</f>
        <v>46602</v>
      </c>
      <c r="HN4" s="20">
        <f t="shared" ref="HN4" si="30">HM4+1</f>
        <v>46603</v>
      </c>
      <c r="HO4" s="20">
        <f t="shared" ref="HO4" si="31">HN4+1</f>
        <v>46604</v>
      </c>
      <c r="HP4" s="20">
        <f t="shared" ref="HP4" si="32">HO4+1</f>
        <v>46605</v>
      </c>
      <c r="HQ4" s="20">
        <f t="shared" ref="HQ4" si="33">HP4+1</f>
        <v>46606</v>
      </c>
      <c r="HR4" s="20">
        <f t="shared" ref="HR4" si="34">HQ4+1</f>
        <v>46607</v>
      </c>
      <c r="HS4" s="20">
        <f t="shared" ref="HS4" si="35">HR4+1</f>
        <v>46608</v>
      </c>
      <c r="HT4" s="20">
        <f t="shared" ref="HT4" si="36">HS4+1</f>
        <v>46609</v>
      </c>
      <c r="HU4" s="20">
        <f t="shared" ref="HU4" si="37">HT4+1</f>
        <v>46610</v>
      </c>
      <c r="HV4" s="20">
        <f t="shared" ref="HV4" si="38">HU4+1</f>
        <v>46611</v>
      </c>
      <c r="HW4" s="20">
        <f t="shared" ref="HW4" si="39">HV4+1</f>
        <v>46612</v>
      </c>
      <c r="HX4" s="20">
        <f t="shared" ref="HX4" si="40">HW4+1</f>
        <v>46613</v>
      </c>
      <c r="HY4" s="20">
        <f t="shared" ref="HY4" si="41">HX4+1</f>
        <v>46614</v>
      </c>
      <c r="HZ4" s="20">
        <f t="shared" ref="HZ4" si="42">HY4+1</f>
        <v>46615</v>
      </c>
      <c r="IA4" s="20">
        <f t="shared" ref="IA4" si="43">HZ4+1</f>
        <v>46616</v>
      </c>
      <c r="IB4" s="20">
        <f t="shared" ref="IB4" si="44">IA4+1</f>
        <v>46617</v>
      </c>
      <c r="IC4" s="20">
        <f t="shared" ref="IC4" si="45">IB4+1</f>
        <v>46618</v>
      </c>
      <c r="ID4" s="20">
        <f t="shared" ref="ID4" si="46">IC4+1</f>
        <v>46619</v>
      </c>
      <c r="IE4" s="20">
        <f t="shared" ref="IE4" si="47">ID4+1</f>
        <v>46620</v>
      </c>
      <c r="IF4" s="20">
        <f t="shared" ref="IF4" si="48">IE4+1</f>
        <v>46621</v>
      </c>
      <c r="IG4" s="20">
        <f t="shared" ref="IG4" si="49">IF4+1</f>
        <v>46622</v>
      </c>
      <c r="IH4" s="20">
        <f t="shared" ref="IH4" si="50">IG4+1</f>
        <v>46623</v>
      </c>
      <c r="II4" s="20">
        <f t="shared" ref="II4" si="51">IH4+1</f>
        <v>46624</v>
      </c>
      <c r="IJ4" s="20">
        <f t="shared" ref="IJ4" si="52">II4+1</f>
        <v>46625</v>
      </c>
      <c r="IK4" s="20">
        <f t="shared" ref="IK4" si="53">IJ4+1</f>
        <v>46626</v>
      </c>
      <c r="IL4" s="20">
        <f t="shared" ref="IL4" si="54">IK4+1</f>
        <v>46627</v>
      </c>
      <c r="IM4" s="20">
        <f t="shared" ref="IM4" si="55">IL4+1</f>
        <v>46628</v>
      </c>
      <c r="IN4" s="20">
        <f t="shared" ref="IN4" si="56">IM4+1</f>
        <v>46629</v>
      </c>
      <c r="IO4" s="20">
        <f t="shared" ref="IO4" si="57">IN4+1</f>
        <v>46630</v>
      </c>
      <c r="IP4" s="20">
        <f t="shared" ref="IP4" si="58">IO4+1</f>
        <v>46631</v>
      </c>
      <c r="IQ4" s="20">
        <f t="shared" ref="IQ4" si="59">IP4+1</f>
        <v>46632</v>
      </c>
      <c r="IR4" s="20">
        <f t="shared" ref="IR4" si="60">IQ4+1</f>
        <v>46633</v>
      </c>
      <c r="IS4" s="20">
        <f t="shared" ref="IS4" si="61">IR4+1</f>
        <v>46634</v>
      </c>
      <c r="IT4" s="20">
        <f t="shared" ref="IT4" si="62">IS4+1</f>
        <v>46635</v>
      </c>
      <c r="IU4" s="20">
        <f t="shared" ref="IU4" si="63">IT4+1</f>
        <v>46636</v>
      </c>
      <c r="IV4" s="20">
        <f t="shared" ref="IV4" si="64">IU4+1</f>
        <v>46637</v>
      </c>
      <c r="IW4" s="20">
        <f t="shared" ref="IW4" si="65">IV4+1</f>
        <v>46638</v>
      </c>
      <c r="IX4" s="20">
        <f t="shared" ref="IX4" si="66">IW4+1</f>
        <v>46639</v>
      </c>
      <c r="IY4" s="20">
        <f t="shared" ref="IY4" si="67">IX4+1</f>
        <v>46640</v>
      </c>
      <c r="IZ4" s="20">
        <f t="shared" ref="IZ4" si="68">IY4+1</f>
        <v>46641</v>
      </c>
      <c r="JA4" s="20">
        <f t="shared" ref="JA4" si="69">IZ4+1</f>
        <v>46642</v>
      </c>
      <c r="JB4" s="20">
        <f t="shared" ref="JB4" si="70">JA4+1</f>
        <v>46643</v>
      </c>
      <c r="JC4" s="20">
        <f t="shared" ref="JC4" si="71">JB4+1</f>
        <v>46644</v>
      </c>
      <c r="JD4" s="20">
        <f t="shared" ref="JD4" si="72">JC4+1</f>
        <v>46645</v>
      </c>
      <c r="JE4" s="20">
        <f t="shared" ref="JE4" si="73">JD4+1</f>
        <v>46646</v>
      </c>
      <c r="JF4" s="20">
        <f t="shared" ref="JF4" si="74">JE4+1</f>
        <v>46647</v>
      </c>
      <c r="JG4" s="20">
        <f t="shared" ref="JG4" si="75">JF4+1</f>
        <v>46648</v>
      </c>
      <c r="JH4" s="20">
        <f t="shared" ref="JH4" si="76">JG4+1</f>
        <v>46649</v>
      </c>
      <c r="JI4" s="20">
        <f t="shared" ref="JI4" si="77">JH4+1</f>
        <v>46650</v>
      </c>
      <c r="JJ4" s="20">
        <f t="shared" ref="JJ4" si="78">JI4+1</f>
        <v>46651</v>
      </c>
      <c r="JK4" s="20">
        <f t="shared" ref="JK4" si="79">JJ4+1</f>
        <v>46652</v>
      </c>
      <c r="JL4" s="20">
        <f t="shared" ref="JL4" si="80">JK4+1</f>
        <v>46653</v>
      </c>
      <c r="JM4" s="20">
        <f t="shared" ref="JM4" si="81">JL4+1</f>
        <v>46654</v>
      </c>
      <c r="JN4" s="20">
        <f t="shared" ref="JN4" si="82">JM4+1</f>
        <v>46655</v>
      </c>
      <c r="JO4" s="20">
        <f t="shared" ref="JO4" si="83">JN4+1</f>
        <v>46656</v>
      </c>
      <c r="JP4" s="20">
        <f t="shared" ref="JP4" si="84">JO4+1</f>
        <v>46657</v>
      </c>
      <c r="JQ4" s="20">
        <f t="shared" ref="JQ4" si="85">JP4+1</f>
        <v>46658</v>
      </c>
      <c r="JR4" s="20">
        <f t="shared" ref="JR4" si="86">JQ4+1</f>
        <v>46659</v>
      </c>
      <c r="JS4" s="20">
        <f t="shared" ref="JS4" si="87">JR4+1</f>
        <v>46660</v>
      </c>
      <c r="JT4" s="20">
        <f t="shared" ref="JT4" si="88">JS4+1</f>
        <v>46661</v>
      </c>
      <c r="JU4" s="20">
        <f t="shared" ref="JU4" si="89">JT4+1</f>
        <v>46662</v>
      </c>
      <c r="JV4" s="20">
        <f t="shared" ref="JV4" si="90">JU4+1</f>
        <v>46663</v>
      </c>
      <c r="JW4" s="20">
        <f t="shared" ref="JW4" si="91">JV4+1</f>
        <v>46664</v>
      </c>
      <c r="JX4" s="20">
        <f t="shared" ref="JX4" si="92">JW4+1</f>
        <v>46665</v>
      </c>
      <c r="JY4" s="20">
        <f t="shared" ref="JY4" si="93">JX4+1</f>
        <v>46666</v>
      </c>
      <c r="JZ4" s="20">
        <f t="shared" ref="JZ4" si="94">JY4+1</f>
        <v>46667</v>
      </c>
      <c r="KA4" s="20">
        <f t="shared" ref="KA4" si="95">JZ4+1</f>
        <v>46668</v>
      </c>
      <c r="KB4" s="20">
        <f t="shared" ref="KB4" si="96">KA4+1</f>
        <v>46669</v>
      </c>
      <c r="KC4" s="20">
        <f t="shared" ref="KC4" si="97">KB4+1</f>
        <v>46670</v>
      </c>
      <c r="KD4" s="20">
        <f t="shared" ref="KD4" si="98">KC4+1</f>
        <v>46671</v>
      </c>
      <c r="KE4" s="20">
        <f t="shared" ref="KE4" si="99">KD4+1</f>
        <v>46672</v>
      </c>
      <c r="KF4" s="20">
        <f t="shared" ref="KF4" si="100">KE4+1</f>
        <v>46673</v>
      </c>
      <c r="KG4" s="20">
        <f t="shared" ref="KG4" si="101">KF4+1</f>
        <v>46674</v>
      </c>
      <c r="KH4" s="20">
        <f t="shared" ref="KH4" si="102">KG4+1</f>
        <v>46675</v>
      </c>
      <c r="KI4" s="20">
        <f t="shared" ref="KI4" si="103">KH4+1</f>
        <v>46676</v>
      </c>
      <c r="KJ4" s="20">
        <f t="shared" ref="KJ4" si="104">KI4+1</f>
        <v>46677</v>
      </c>
      <c r="KK4" s="20">
        <f t="shared" ref="KK4" si="105">KJ4+1</f>
        <v>46678</v>
      </c>
      <c r="KL4" s="20">
        <f t="shared" ref="KL4" si="106">KK4+1</f>
        <v>46679</v>
      </c>
      <c r="KM4" s="20">
        <f t="shared" ref="KM4" si="107">KL4+1</f>
        <v>46680</v>
      </c>
      <c r="KN4" s="20">
        <f t="shared" ref="KN4" si="108">KM4+1</f>
        <v>46681</v>
      </c>
      <c r="KO4" s="20">
        <f t="shared" ref="KO4" si="109">KN4+1</f>
        <v>46682</v>
      </c>
      <c r="KP4" s="20">
        <f t="shared" ref="KP4" si="110">KO4+1</f>
        <v>46683</v>
      </c>
      <c r="KQ4" s="20">
        <f t="shared" ref="KQ4" si="111">KP4+1</f>
        <v>46684</v>
      </c>
      <c r="KR4" s="20">
        <f t="shared" ref="KR4" si="112">KQ4+1</f>
        <v>46685</v>
      </c>
      <c r="KS4" s="20">
        <f t="shared" ref="KS4" si="113">KR4+1</f>
        <v>46686</v>
      </c>
      <c r="KT4" s="20">
        <f t="shared" ref="KT4" si="114">KS4+1</f>
        <v>46687</v>
      </c>
      <c r="KU4" s="20">
        <f t="shared" ref="KU4" si="115">KT4+1</f>
        <v>46688</v>
      </c>
      <c r="KV4" s="20">
        <f t="shared" ref="KV4" si="116">KU4+1</f>
        <v>46689</v>
      </c>
      <c r="KW4" s="20">
        <f t="shared" ref="KW4" si="117">KV4+1</f>
        <v>46690</v>
      </c>
      <c r="KX4" s="20">
        <f t="shared" ref="KX4" si="118">KW4+1</f>
        <v>46691</v>
      </c>
      <c r="KY4" s="20">
        <f t="shared" ref="KY4" si="119">KX4+1</f>
        <v>46692</v>
      </c>
      <c r="KZ4" s="20">
        <f t="shared" ref="KZ4" si="120">KY4+1</f>
        <v>46693</v>
      </c>
      <c r="LA4" s="20">
        <f t="shared" ref="LA4" si="121">KZ4+1</f>
        <v>46694</v>
      </c>
      <c r="LB4" s="20">
        <f t="shared" ref="LB4" si="122">LA4+1</f>
        <v>46695</v>
      </c>
      <c r="LC4" s="20">
        <f t="shared" ref="LC4" si="123">LB4+1</f>
        <v>46696</v>
      </c>
      <c r="LD4" s="20">
        <f t="shared" ref="LD4" si="124">LC4+1</f>
        <v>46697</v>
      </c>
      <c r="LE4" s="20">
        <f t="shared" ref="LE4" si="125">LD4+1</f>
        <v>46698</v>
      </c>
      <c r="LF4" s="20">
        <f t="shared" ref="LF4" si="126">LE4+1</f>
        <v>46699</v>
      </c>
      <c r="LG4" s="20">
        <f t="shared" ref="LG4" si="127">LF4+1</f>
        <v>46700</v>
      </c>
      <c r="LH4" s="20">
        <f t="shared" ref="LH4" si="128">LG4+1</f>
        <v>46701</v>
      </c>
      <c r="LI4" s="20">
        <f t="shared" ref="LI4" si="129">LH4+1</f>
        <v>46702</v>
      </c>
      <c r="LJ4" s="20">
        <f t="shared" ref="LJ4" si="130">LI4+1</f>
        <v>46703</v>
      </c>
      <c r="LK4" s="20">
        <f t="shared" ref="LK4" si="131">LJ4+1</f>
        <v>46704</v>
      </c>
      <c r="LL4" s="20">
        <f t="shared" ref="LL4" si="132">LK4+1</f>
        <v>46705</v>
      </c>
      <c r="LM4" s="20">
        <f t="shared" ref="LM4" si="133">LL4+1</f>
        <v>46706</v>
      </c>
      <c r="LN4" s="20">
        <f t="shared" ref="LN4" si="134">LM4+1</f>
        <v>46707</v>
      </c>
      <c r="LO4" s="20">
        <f t="shared" ref="LO4" si="135">LN4+1</f>
        <v>46708</v>
      </c>
      <c r="LP4" s="20">
        <f t="shared" ref="LP4:MA4" si="136">LO4+1</f>
        <v>46709</v>
      </c>
      <c r="LQ4" s="20">
        <f t="shared" si="136"/>
        <v>46710</v>
      </c>
      <c r="LR4" s="20">
        <f t="shared" si="136"/>
        <v>46711</v>
      </c>
      <c r="LS4" s="20">
        <f t="shared" si="136"/>
        <v>46712</v>
      </c>
      <c r="LT4" s="20">
        <f t="shared" si="136"/>
        <v>46713</v>
      </c>
      <c r="LU4" s="20">
        <f t="shared" si="136"/>
        <v>46714</v>
      </c>
      <c r="LV4" s="20">
        <f t="shared" si="136"/>
        <v>46715</v>
      </c>
      <c r="LW4" s="20">
        <f t="shared" si="136"/>
        <v>46716</v>
      </c>
      <c r="LX4" s="20">
        <f t="shared" si="136"/>
        <v>46717</v>
      </c>
      <c r="LY4" s="20">
        <f t="shared" si="136"/>
        <v>46718</v>
      </c>
      <c r="LZ4" s="20">
        <f t="shared" si="136"/>
        <v>46719</v>
      </c>
      <c r="MA4" s="20">
        <f t="shared" si="136"/>
        <v>46720</v>
      </c>
      <c r="MB4" s="20">
        <f t="shared" ref="MB4:NG4" si="137">MA4+1</f>
        <v>46721</v>
      </c>
      <c r="MC4" s="20">
        <f t="shared" si="137"/>
        <v>46722</v>
      </c>
      <c r="MD4" s="20">
        <f t="shared" si="137"/>
        <v>46723</v>
      </c>
      <c r="ME4" s="20">
        <f t="shared" si="137"/>
        <v>46724</v>
      </c>
      <c r="MF4" s="20">
        <f t="shared" si="137"/>
        <v>46725</v>
      </c>
      <c r="MG4" s="20">
        <f t="shared" si="137"/>
        <v>46726</v>
      </c>
      <c r="MH4" s="20">
        <f t="shared" si="137"/>
        <v>46727</v>
      </c>
      <c r="MI4" s="20">
        <f t="shared" si="137"/>
        <v>46728</v>
      </c>
      <c r="MJ4" s="20">
        <f t="shared" si="137"/>
        <v>46729</v>
      </c>
      <c r="MK4" s="20">
        <f t="shared" si="137"/>
        <v>46730</v>
      </c>
      <c r="ML4" s="20">
        <f t="shared" si="137"/>
        <v>46731</v>
      </c>
      <c r="MM4" s="20">
        <f t="shared" si="137"/>
        <v>46732</v>
      </c>
      <c r="MN4" s="20">
        <f t="shared" si="137"/>
        <v>46733</v>
      </c>
      <c r="MO4" s="20">
        <f t="shared" si="137"/>
        <v>46734</v>
      </c>
      <c r="MP4" s="20">
        <f t="shared" si="137"/>
        <v>46735</v>
      </c>
      <c r="MQ4" s="20">
        <f t="shared" si="137"/>
        <v>46736</v>
      </c>
      <c r="MR4" s="20">
        <f t="shared" si="137"/>
        <v>46737</v>
      </c>
      <c r="MS4" s="20">
        <f t="shared" si="137"/>
        <v>46738</v>
      </c>
      <c r="MT4" s="20">
        <f t="shared" si="137"/>
        <v>46739</v>
      </c>
      <c r="MU4" s="20">
        <f t="shared" si="137"/>
        <v>46740</v>
      </c>
      <c r="MV4" s="20">
        <f t="shared" si="137"/>
        <v>46741</v>
      </c>
      <c r="MW4" s="20">
        <f t="shared" si="137"/>
        <v>46742</v>
      </c>
      <c r="MX4" s="20">
        <f t="shared" si="137"/>
        <v>46743</v>
      </c>
      <c r="MY4" s="20">
        <f t="shared" si="137"/>
        <v>46744</v>
      </c>
      <c r="MZ4" s="20">
        <f t="shared" si="137"/>
        <v>46745</v>
      </c>
      <c r="NA4" s="20">
        <f t="shared" si="137"/>
        <v>46746</v>
      </c>
      <c r="NB4" s="20">
        <f t="shared" si="137"/>
        <v>46747</v>
      </c>
      <c r="NC4" s="20">
        <f t="shared" si="137"/>
        <v>46748</v>
      </c>
      <c r="ND4" s="20">
        <f t="shared" si="137"/>
        <v>46749</v>
      </c>
      <c r="NE4" s="20">
        <f t="shared" si="137"/>
        <v>46750</v>
      </c>
      <c r="NF4" s="20">
        <f t="shared" si="137"/>
        <v>46751</v>
      </c>
      <c r="NG4" s="20">
        <f t="shared" si="137"/>
        <v>46752</v>
      </c>
      <c r="NH4" s="20" t="str">
        <f>IF(COUNTIF(AL2:BN2,2)&gt;28,NG4+1,"")</f>
        <v/>
      </c>
    </row>
    <row r="5" spans="1:375" x14ac:dyDescent="0.2">
      <c r="B5" s="72" t="s">
        <v>476</v>
      </c>
      <c r="C5" s="72"/>
      <c r="D5" s="72"/>
      <c r="G5" s="3" t="str">
        <f t="shared" ref="G5:BR5" si="138">TEXT(G4,"TTT")</f>
        <v>Fr</v>
      </c>
      <c r="H5" s="3" t="str">
        <f t="shared" si="138"/>
        <v>Sa</v>
      </c>
      <c r="I5" s="3" t="str">
        <f t="shared" si="138"/>
        <v>So</v>
      </c>
      <c r="J5" s="3" t="str">
        <f t="shared" si="138"/>
        <v>Mo</v>
      </c>
      <c r="K5" s="3" t="str">
        <f t="shared" si="138"/>
        <v>Di</v>
      </c>
      <c r="L5" s="3" t="str">
        <f t="shared" si="138"/>
        <v>Mi</v>
      </c>
      <c r="M5" s="3" t="str">
        <f t="shared" si="138"/>
        <v>Do</v>
      </c>
      <c r="N5" s="3" t="str">
        <f t="shared" si="138"/>
        <v>Fr</v>
      </c>
      <c r="O5" s="3" t="str">
        <f t="shared" si="138"/>
        <v>Sa</v>
      </c>
      <c r="P5" s="3" t="str">
        <f t="shared" si="138"/>
        <v>So</v>
      </c>
      <c r="Q5" s="3" t="str">
        <f t="shared" si="138"/>
        <v>Mo</v>
      </c>
      <c r="R5" s="3" t="str">
        <f t="shared" si="138"/>
        <v>Di</v>
      </c>
      <c r="S5" s="3" t="str">
        <f t="shared" si="138"/>
        <v>Mi</v>
      </c>
      <c r="T5" s="3" t="str">
        <f t="shared" si="138"/>
        <v>Do</v>
      </c>
      <c r="U5" s="3" t="str">
        <f t="shared" si="138"/>
        <v>Fr</v>
      </c>
      <c r="V5" s="3" t="str">
        <f t="shared" si="138"/>
        <v>Sa</v>
      </c>
      <c r="W5" s="3" t="str">
        <f t="shared" si="138"/>
        <v>So</v>
      </c>
      <c r="X5" s="3" t="str">
        <f t="shared" si="138"/>
        <v>Mo</v>
      </c>
      <c r="Y5" s="3" t="str">
        <f t="shared" si="138"/>
        <v>Di</v>
      </c>
      <c r="Z5" s="3" t="str">
        <f t="shared" si="138"/>
        <v>Mi</v>
      </c>
      <c r="AA5" s="3" t="str">
        <f t="shared" si="138"/>
        <v>Do</v>
      </c>
      <c r="AB5" s="3" t="str">
        <f t="shared" si="138"/>
        <v>Fr</v>
      </c>
      <c r="AC5" s="3" t="str">
        <f t="shared" si="138"/>
        <v>Sa</v>
      </c>
      <c r="AD5" s="3" t="str">
        <f t="shared" si="138"/>
        <v>So</v>
      </c>
      <c r="AE5" s="3" t="str">
        <f t="shared" si="138"/>
        <v>Mo</v>
      </c>
      <c r="AF5" s="3" t="str">
        <f t="shared" si="138"/>
        <v>Di</v>
      </c>
      <c r="AG5" s="3" t="str">
        <f t="shared" si="138"/>
        <v>Mi</v>
      </c>
      <c r="AH5" s="3" t="str">
        <f t="shared" si="138"/>
        <v>Do</v>
      </c>
      <c r="AI5" s="3" t="str">
        <f t="shared" si="138"/>
        <v>Fr</v>
      </c>
      <c r="AJ5" s="3" t="str">
        <f t="shared" si="138"/>
        <v>Sa</v>
      </c>
      <c r="AK5" s="3" t="str">
        <f t="shared" si="138"/>
        <v>So</v>
      </c>
      <c r="AL5" s="3" t="str">
        <f t="shared" si="138"/>
        <v>Mo</v>
      </c>
      <c r="AM5" s="3" t="str">
        <f t="shared" si="138"/>
        <v>Di</v>
      </c>
      <c r="AN5" s="3" t="str">
        <f t="shared" si="138"/>
        <v>Mi</v>
      </c>
      <c r="AO5" s="3" t="str">
        <f t="shared" si="138"/>
        <v>Do</v>
      </c>
      <c r="AP5" s="3" t="str">
        <f t="shared" si="138"/>
        <v>Fr</v>
      </c>
      <c r="AQ5" s="3" t="str">
        <f t="shared" si="138"/>
        <v>Sa</v>
      </c>
      <c r="AR5" s="3" t="str">
        <f t="shared" si="138"/>
        <v>So</v>
      </c>
      <c r="AS5" s="3" t="str">
        <f t="shared" si="138"/>
        <v>Mo</v>
      </c>
      <c r="AT5" s="3" t="str">
        <f t="shared" si="138"/>
        <v>Di</v>
      </c>
      <c r="AU5" s="3" t="str">
        <f t="shared" si="138"/>
        <v>Mi</v>
      </c>
      <c r="AV5" s="3" t="str">
        <f t="shared" si="138"/>
        <v>Do</v>
      </c>
      <c r="AW5" s="3" t="str">
        <f t="shared" si="138"/>
        <v>Fr</v>
      </c>
      <c r="AX5" s="3" t="str">
        <f t="shared" si="138"/>
        <v>Sa</v>
      </c>
      <c r="AY5" s="3" t="str">
        <f t="shared" si="138"/>
        <v>So</v>
      </c>
      <c r="AZ5" s="3" t="str">
        <f t="shared" si="138"/>
        <v>Mo</v>
      </c>
      <c r="BA5" s="3" t="str">
        <f t="shared" si="138"/>
        <v>Di</v>
      </c>
      <c r="BB5" s="3" t="str">
        <f t="shared" si="138"/>
        <v>Mi</v>
      </c>
      <c r="BC5" s="3" t="str">
        <f t="shared" si="138"/>
        <v>Do</v>
      </c>
      <c r="BD5" s="3" t="str">
        <f t="shared" si="138"/>
        <v>Fr</v>
      </c>
      <c r="BE5" s="3" t="str">
        <f t="shared" si="138"/>
        <v>Sa</v>
      </c>
      <c r="BF5" s="3" t="str">
        <f t="shared" si="138"/>
        <v>So</v>
      </c>
      <c r="BG5" s="3" t="str">
        <f t="shared" si="138"/>
        <v>Mo</v>
      </c>
      <c r="BH5" s="3" t="str">
        <f t="shared" si="138"/>
        <v>Di</v>
      </c>
      <c r="BI5" s="3" t="str">
        <f t="shared" si="138"/>
        <v>Mi</v>
      </c>
      <c r="BJ5" s="3" t="str">
        <f t="shared" si="138"/>
        <v>Do</v>
      </c>
      <c r="BK5" s="3" t="str">
        <f t="shared" si="138"/>
        <v>Fr</v>
      </c>
      <c r="BL5" s="3" t="str">
        <f t="shared" si="138"/>
        <v>Sa</v>
      </c>
      <c r="BM5" s="3" t="str">
        <f t="shared" si="138"/>
        <v>So</v>
      </c>
      <c r="BN5" s="3" t="str">
        <f t="shared" si="138"/>
        <v>Mo</v>
      </c>
      <c r="BO5" s="3" t="str">
        <f t="shared" si="138"/>
        <v>Di</v>
      </c>
      <c r="BP5" s="3" t="str">
        <f t="shared" si="138"/>
        <v>Mi</v>
      </c>
      <c r="BQ5" s="3" t="str">
        <f t="shared" si="138"/>
        <v>Do</v>
      </c>
      <c r="BR5" s="3" t="str">
        <f t="shared" si="138"/>
        <v>Fr</v>
      </c>
      <c r="BS5" s="3" t="str">
        <f t="shared" ref="BS5:ED5" si="139">TEXT(BS4,"TTT")</f>
        <v>Sa</v>
      </c>
      <c r="BT5" s="3" t="str">
        <f t="shared" si="139"/>
        <v>So</v>
      </c>
      <c r="BU5" s="3" t="str">
        <f t="shared" si="139"/>
        <v>Mo</v>
      </c>
      <c r="BV5" s="3" t="str">
        <f t="shared" si="139"/>
        <v>Di</v>
      </c>
      <c r="BW5" s="3" t="str">
        <f t="shared" si="139"/>
        <v>Mi</v>
      </c>
      <c r="BX5" s="3" t="str">
        <f t="shared" si="139"/>
        <v>Do</v>
      </c>
      <c r="BY5" s="3" t="str">
        <f t="shared" si="139"/>
        <v>Fr</v>
      </c>
      <c r="BZ5" s="3" t="str">
        <f t="shared" si="139"/>
        <v>Sa</v>
      </c>
      <c r="CA5" s="3" t="str">
        <f t="shared" si="139"/>
        <v>So</v>
      </c>
      <c r="CB5" s="3" t="str">
        <f t="shared" si="139"/>
        <v>Mo</v>
      </c>
      <c r="CC5" s="3" t="str">
        <f t="shared" si="139"/>
        <v>Di</v>
      </c>
      <c r="CD5" s="3" t="str">
        <f t="shared" si="139"/>
        <v>Mi</v>
      </c>
      <c r="CE5" s="3" t="str">
        <f t="shared" si="139"/>
        <v>Do</v>
      </c>
      <c r="CF5" s="3" t="str">
        <f t="shared" si="139"/>
        <v>Fr</v>
      </c>
      <c r="CG5" s="3" t="str">
        <f t="shared" si="139"/>
        <v>Sa</v>
      </c>
      <c r="CH5" s="3" t="str">
        <f t="shared" si="139"/>
        <v>So</v>
      </c>
      <c r="CI5" s="3" t="str">
        <f t="shared" si="139"/>
        <v>Mo</v>
      </c>
      <c r="CJ5" s="3" t="str">
        <f t="shared" si="139"/>
        <v>Di</v>
      </c>
      <c r="CK5" s="3" t="str">
        <f t="shared" si="139"/>
        <v>Mi</v>
      </c>
      <c r="CL5" s="3" t="str">
        <f t="shared" si="139"/>
        <v>Do</v>
      </c>
      <c r="CM5" s="3" t="str">
        <f t="shared" si="139"/>
        <v>Fr</v>
      </c>
      <c r="CN5" s="3" t="str">
        <f t="shared" si="139"/>
        <v>Sa</v>
      </c>
      <c r="CO5" s="3" t="str">
        <f t="shared" si="139"/>
        <v>So</v>
      </c>
      <c r="CP5" s="3" t="str">
        <f t="shared" si="139"/>
        <v>Mo</v>
      </c>
      <c r="CQ5" s="3" t="str">
        <f t="shared" si="139"/>
        <v>Di</v>
      </c>
      <c r="CR5" s="3" t="str">
        <f t="shared" si="139"/>
        <v>Mi</v>
      </c>
      <c r="CS5" s="3" t="str">
        <f t="shared" si="139"/>
        <v>Do</v>
      </c>
      <c r="CT5" s="3" t="str">
        <f t="shared" si="139"/>
        <v>Fr</v>
      </c>
      <c r="CU5" s="3" t="str">
        <f t="shared" si="139"/>
        <v>Sa</v>
      </c>
      <c r="CV5" s="3" t="str">
        <f t="shared" si="139"/>
        <v>So</v>
      </c>
      <c r="CW5" s="3" t="str">
        <f t="shared" si="139"/>
        <v>Mo</v>
      </c>
      <c r="CX5" s="3" t="str">
        <f t="shared" si="139"/>
        <v>Di</v>
      </c>
      <c r="CY5" s="3" t="str">
        <f t="shared" si="139"/>
        <v>Mi</v>
      </c>
      <c r="CZ5" s="3" t="str">
        <f t="shared" si="139"/>
        <v>Do</v>
      </c>
      <c r="DA5" s="3" t="str">
        <f t="shared" si="139"/>
        <v>Fr</v>
      </c>
      <c r="DB5" s="3" t="str">
        <f t="shared" si="139"/>
        <v>Sa</v>
      </c>
      <c r="DC5" s="3" t="str">
        <f t="shared" si="139"/>
        <v>So</v>
      </c>
      <c r="DD5" s="3" t="str">
        <f t="shared" si="139"/>
        <v>Mo</v>
      </c>
      <c r="DE5" s="3" t="str">
        <f t="shared" si="139"/>
        <v>Di</v>
      </c>
      <c r="DF5" s="3" t="str">
        <f t="shared" si="139"/>
        <v>Mi</v>
      </c>
      <c r="DG5" s="3" t="str">
        <f t="shared" si="139"/>
        <v>Do</v>
      </c>
      <c r="DH5" s="3" t="str">
        <f t="shared" si="139"/>
        <v>Fr</v>
      </c>
      <c r="DI5" s="3" t="str">
        <f t="shared" si="139"/>
        <v>Sa</v>
      </c>
      <c r="DJ5" s="3" t="str">
        <f t="shared" si="139"/>
        <v>So</v>
      </c>
      <c r="DK5" s="3" t="str">
        <f t="shared" si="139"/>
        <v>Mo</v>
      </c>
      <c r="DL5" s="3" t="str">
        <f t="shared" si="139"/>
        <v>Di</v>
      </c>
      <c r="DM5" s="3" t="str">
        <f t="shared" si="139"/>
        <v>Mi</v>
      </c>
      <c r="DN5" s="3" t="str">
        <f t="shared" si="139"/>
        <v>Do</v>
      </c>
      <c r="DO5" s="3" t="str">
        <f t="shared" si="139"/>
        <v>Fr</v>
      </c>
      <c r="DP5" s="3" t="str">
        <f t="shared" si="139"/>
        <v>Sa</v>
      </c>
      <c r="DQ5" s="3" t="str">
        <f t="shared" si="139"/>
        <v>So</v>
      </c>
      <c r="DR5" s="3" t="str">
        <f t="shared" si="139"/>
        <v>Mo</v>
      </c>
      <c r="DS5" s="3" t="str">
        <f t="shared" si="139"/>
        <v>Di</v>
      </c>
      <c r="DT5" s="3" t="str">
        <f t="shared" si="139"/>
        <v>Mi</v>
      </c>
      <c r="DU5" s="3" t="str">
        <f t="shared" si="139"/>
        <v>Do</v>
      </c>
      <c r="DV5" s="3" t="str">
        <f t="shared" si="139"/>
        <v>Fr</v>
      </c>
      <c r="DW5" s="3" t="str">
        <f t="shared" si="139"/>
        <v>Sa</v>
      </c>
      <c r="DX5" s="3" t="str">
        <f t="shared" si="139"/>
        <v>So</v>
      </c>
      <c r="DY5" s="3" t="str">
        <f t="shared" si="139"/>
        <v>Mo</v>
      </c>
      <c r="DZ5" s="3" t="str">
        <f t="shared" si="139"/>
        <v>Di</v>
      </c>
      <c r="EA5" s="3" t="str">
        <f t="shared" si="139"/>
        <v>Mi</v>
      </c>
      <c r="EB5" s="3" t="str">
        <f t="shared" si="139"/>
        <v>Do</v>
      </c>
      <c r="EC5" s="3" t="str">
        <f t="shared" si="139"/>
        <v>Fr</v>
      </c>
      <c r="ED5" s="3" t="str">
        <f t="shared" si="139"/>
        <v>Sa</v>
      </c>
      <c r="EE5" s="3" t="str">
        <f t="shared" ref="EE5:GP5" si="140">TEXT(EE4,"TTT")</f>
        <v>So</v>
      </c>
      <c r="EF5" s="3" t="str">
        <f t="shared" si="140"/>
        <v>Mo</v>
      </c>
      <c r="EG5" s="3" t="str">
        <f t="shared" si="140"/>
        <v>Di</v>
      </c>
      <c r="EH5" s="3" t="str">
        <f t="shared" si="140"/>
        <v>Mi</v>
      </c>
      <c r="EI5" s="3" t="str">
        <f t="shared" si="140"/>
        <v>Do</v>
      </c>
      <c r="EJ5" s="3" t="str">
        <f t="shared" si="140"/>
        <v>Fr</v>
      </c>
      <c r="EK5" s="3" t="str">
        <f t="shared" si="140"/>
        <v>Sa</v>
      </c>
      <c r="EL5" s="3" t="str">
        <f t="shared" si="140"/>
        <v>So</v>
      </c>
      <c r="EM5" s="3" t="str">
        <f t="shared" si="140"/>
        <v>Mo</v>
      </c>
      <c r="EN5" s="3" t="str">
        <f t="shared" si="140"/>
        <v>Di</v>
      </c>
      <c r="EO5" s="3" t="str">
        <f t="shared" si="140"/>
        <v>Mi</v>
      </c>
      <c r="EP5" s="3" t="str">
        <f t="shared" si="140"/>
        <v>Do</v>
      </c>
      <c r="EQ5" s="3" t="str">
        <f t="shared" si="140"/>
        <v>Fr</v>
      </c>
      <c r="ER5" s="3" t="str">
        <f t="shared" si="140"/>
        <v>Sa</v>
      </c>
      <c r="ES5" s="3" t="str">
        <f t="shared" si="140"/>
        <v>So</v>
      </c>
      <c r="ET5" s="3" t="str">
        <f t="shared" si="140"/>
        <v>Mo</v>
      </c>
      <c r="EU5" s="3" t="str">
        <f t="shared" si="140"/>
        <v>Di</v>
      </c>
      <c r="EV5" s="3" t="str">
        <f t="shared" si="140"/>
        <v>Mi</v>
      </c>
      <c r="EW5" s="3" t="str">
        <f t="shared" si="140"/>
        <v>Do</v>
      </c>
      <c r="EX5" s="3" t="str">
        <f t="shared" si="140"/>
        <v>Fr</v>
      </c>
      <c r="EY5" s="3" t="str">
        <f t="shared" si="140"/>
        <v>Sa</v>
      </c>
      <c r="EZ5" s="3" t="str">
        <f t="shared" si="140"/>
        <v>So</v>
      </c>
      <c r="FA5" s="3" t="str">
        <f t="shared" si="140"/>
        <v>Mo</v>
      </c>
      <c r="FB5" s="3" t="str">
        <f t="shared" si="140"/>
        <v>Di</v>
      </c>
      <c r="FC5" s="3" t="str">
        <f t="shared" si="140"/>
        <v>Mi</v>
      </c>
      <c r="FD5" s="3" t="str">
        <f t="shared" si="140"/>
        <v>Do</v>
      </c>
      <c r="FE5" s="3" t="str">
        <f t="shared" si="140"/>
        <v>Fr</v>
      </c>
      <c r="FF5" s="3" t="str">
        <f t="shared" si="140"/>
        <v>Sa</v>
      </c>
      <c r="FG5" s="3" t="str">
        <f t="shared" si="140"/>
        <v>So</v>
      </c>
      <c r="FH5" s="3" t="str">
        <f t="shared" si="140"/>
        <v>Mo</v>
      </c>
      <c r="FI5" s="3" t="str">
        <f t="shared" si="140"/>
        <v>Di</v>
      </c>
      <c r="FJ5" s="3" t="str">
        <f t="shared" si="140"/>
        <v>Mi</v>
      </c>
      <c r="FK5" s="3" t="str">
        <f t="shared" si="140"/>
        <v>Do</v>
      </c>
      <c r="FL5" s="3" t="str">
        <f t="shared" si="140"/>
        <v>Fr</v>
      </c>
      <c r="FM5" s="3" t="str">
        <f t="shared" si="140"/>
        <v>Sa</v>
      </c>
      <c r="FN5" s="3" t="str">
        <f t="shared" si="140"/>
        <v>So</v>
      </c>
      <c r="FO5" s="3" t="str">
        <f t="shared" si="140"/>
        <v>Mo</v>
      </c>
      <c r="FP5" s="3" t="str">
        <f t="shared" si="140"/>
        <v>Di</v>
      </c>
      <c r="FQ5" s="3" t="str">
        <f t="shared" si="140"/>
        <v>Mi</v>
      </c>
      <c r="FR5" s="3" t="str">
        <f t="shared" si="140"/>
        <v>Do</v>
      </c>
      <c r="FS5" s="3" t="str">
        <f t="shared" si="140"/>
        <v>Fr</v>
      </c>
      <c r="FT5" s="3" t="str">
        <f t="shared" si="140"/>
        <v>Sa</v>
      </c>
      <c r="FU5" s="3" t="str">
        <f t="shared" si="140"/>
        <v>So</v>
      </c>
      <c r="FV5" s="3" t="str">
        <f t="shared" si="140"/>
        <v>Mo</v>
      </c>
      <c r="FW5" s="3" t="str">
        <f t="shared" si="140"/>
        <v>Di</v>
      </c>
      <c r="FX5" s="3" t="str">
        <f t="shared" si="140"/>
        <v>Mi</v>
      </c>
      <c r="FY5" s="3" t="str">
        <f t="shared" si="140"/>
        <v>Do</v>
      </c>
      <c r="FZ5" s="3" t="str">
        <f t="shared" si="140"/>
        <v>Fr</v>
      </c>
      <c r="GA5" s="3" t="str">
        <f t="shared" si="140"/>
        <v>Sa</v>
      </c>
      <c r="GB5" s="3" t="str">
        <f t="shared" si="140"/>
        <v>So</v>
      </c>
      <c r="GC5" s="3" t="str">
        <f t="shared" si="140"/>
        <v>Mo</v>
      </c>
      <c r="GD5" s="3" t="str">
        <f t="shared" si="140"/>
        <v>Di</v>
      </c>
      <c r="GE5" s="3" t="str">
        <f t="shared" si="140"/>
        <v>Mi</v>
      </c>
      <c r="GF5" s="3" t="str">
        <f t="shared" si="140"/>
        <v>Do</v>
      </c>
      <c r="GG5" s="3" t="str">
        <f t="shared" si="140"/>
        <v>Fr</v>
      </c>
      <c r="GH5" s="3" t="str">
        <f t="shared" si="140"/>
        <v>Sa</v>
      </c>
      <c r="GI5" s="3" t="str">
        <f t="shared" si="140"/>
        <v>So</v>
      </c>
      <c r="GJ5" s="3" t="str">
        <f t="shared" si="140"/>
        <v>Mo</v>
      </c>
      <c r="GK5" s="3" t="str">
        <f t="shared" si="140"/>
        <v>Di</v>
      </c>
      <c r="GL5" s="3" t="str">
        <f t="shared" si="140"/>
        <v>Mi</v>
      </c>
      <c r="GM5" s="3" t="str">
        <f t="shared" si="140"/>
        <v>Do</v>
      </c>
      <c r="GN5" s="3" t="str">
        <f t="shared" si="140"/>
        <v>Fr</v>
      </c>
      <c r="GO5" s="3" t="str">
        <f t="shared" si="140"/>
        <v>Sa</v>
      </c>
      <c r="GP5" s="3" t="str">
        <f t="shared" si="140"/>
        <v>So</v>
      </c>
      <c r="GQ5" s="3" t="str">
        <f t="shared" ref="GQ5:GT5" si="141">TEXT(GQ4,"TTT")</f>
        <v>Mo</v>
      </c>
      <c r="GR5" s="3" t="str">
        <f t="shared" si="141"/>
        <v>Di</v>
      </c>
      <c r="GS5" s="3" t="str">
        <f t="shared" si="141"/>
        <v>Mi</v>
      </c>
      <c r="GT5" s="3" t="str">
        <f t="shared" si="141"/>
        <v>Do</v>
      </c>
      <c r="GU5" s="3" t="str">
        <f t="shared" ref="GU5:GY5" si="142">TEXT(GU4,"TTT")</f>
        <v>Fr</v>
      </c>
      <c r="GV5" s="3" t="str">
        <f t="shared" si="142"/>
        <v>Sa</v>
      </c>
      <c r="GW5" s="3" t="str">
        <f t="shared" si="142"/>
        <v>So</v>
      </c>
      <c r="GX5" s="3" t="str">
        <f t="shared" si="142"/>
        <v>Mo</v>
      </c>
      <c r="GY5" s="3" t="str">
        <f t="shared" si="142"/>
        <v>Di</v>
      </c>
      <c r="GZ5" s="3" t="str">
        <f t="shared" ref="GZ5:JK5" si="143">TEXT(GZ4,"TTT")</f>
        <v>Mi</v>
      </c>
      <c r="HA5" s="3" t="str">
        <f t="shared" si="143"/>
        <v>Do</v>
      </c>
      <c r="HB5" s="3" t="str">
        <f t="shared" si="143"/>
        <v>Fr</v>
      </c>
      <c r="HC5" s="3" t="str">
        <f t="shared" si="143"/>
        <v>Sa</v>
      </c>
      <c r="HD5" s="3" t="str">
        <f t="shared" si="143"/>
        <v>So</v>
      </c>
      <c r="HE5" s="3" t="str">
        <f t="shared" si="143"/>
        <v>Mo</v>
      </c>
      <c r="HF5" s="3" t="str">
        <f t="shared" si="143"/>
        <v>Di</v>
      </c>
      <c r="HG5" s="3" t="str">
        <f t="shared" si="143"/>
        <v>Mi</v>
      </c>
      <c r="HH5" s="3" t="str">
        <f t="shared" si="143"/>
        <v>Do</v>
      </c>
      <c r="HI5" s="3" t="str">
        <f t="shared" si="143"/>
        <v>Fr</v>
      </c>
      <c r="HJ5" s="3" t="str">
        <f t="shared" si="143"/>
        <v>Sa</v>
      </c>
      <c r="HK5" s="3" t="str">
        <f t="shared" si="143"/>
        <v>So</v>
      </c>
      <c r="HL5" s="3" t="str">
        <f t="shared" si="143"/>
        <v>Mo</v>
      </c>
      <c r="HM5" s="3" t="str">
        <f t="shared" si="143"/>
        <v>Di</v>
      </c>
      <c r="HN5" s="3" t="str">
        <f t="shared" si="143"/>
        <v>Mi</v>
      </c>
      <c r="HO5" s="3" t="str">
        <f t="shared" si="143"/>
        <v>Do</v>
      </c>
      <c r="HP5" s="3" t="str">
        <f t="shared" si="143"/>
        <v>Fr</v>
      </c>
      <c r="HQ5" s="3" t="str">
        <f t="shared" si="143"/>
        <v>Sa</v>
      </c>
      <c r="HR5" s="3" t="str">
        <f t="shared" si="143"/>
        <v>So</v>
      </c>
      <c r="HS5" s="3" t="str">
        <f t="shared" si="143"/>
        <v>Mo</v>
      </c>
      <c r="HT5" s="3" t="str">
        <f t="shared" si="143"/>
        <v>Di</v>
      </c>
      <c r="HU5" s="3" t="str">
        <f t="shared" si="143"/>
        <v>Mi</v>
      </c>
      <c r="HV5" s="3" t="str">
        <f t="shared" si="143"/>
        <v>Do</v>
      </c>
      <c r="HW5" s="3" t="str">
        <f t="shared" si="143"/>
        <v>Fr</v>
      </c>
      <c r="HX5" s="3" t="str">
        <f t="shared" si="143"/>
        <v>Sa</v>
      </c>
      <c r="HY5" s="3" t="str">
        <f t="shared" si="143"/>
        <v>So</v>
      </c>
      <c r="HZ5" s="3" t="str">
        <f t="shared" si="143"/>
        <v>Mo</v>
      </c>
      <c r="IA5" s="3" t="str">
        <f t="shared" si="143"/>
        <v>Di</v>
      </c>
      <c r="IB5" s="3" t="str">
        <f t="shared" si="143"/>
        <v>Mi</v>
      </c>
      <c r="IC5" s="3" t="str">
        <f t="shared" si="143"/>
        <v>Do</v>
      </c>
      <c r="ID5" s="3" t="str">
        <f t="shared" si="143"/>
        <v>Fr</v>
      </c>
      <c r="IE5" s="3" t="str">
        <f t="shared" si="143"/>
        <v>Sa</v>
      </c>
      <c r="IF5" s="3" t="str">
        <f t="shared" si="143"/>
        <v>So</v>
      </c>
      <c r="IG5" s="3" t="str">
        <f t="shared" si="143"/>
        <v>Mo</v>
      </c>
      <c r="IH5" s="3" t="str">
        <f t="shared" si="143"/>
        <v>Di</v>
      </c>
      <c r="II5" s="3" t="str">
        <f t="shared" si="143"/>
        <v>Mi</v>
      </c>
      <c r="IJ5" s="3" t="str">
        <f t="shared" si="143"/>
        <v>Do</v>
      </c>
      <c r="IK5" s="3" t="str">
        <f t="shared" si="143"/>
        <v>Fr</v>
      </c>
      <c r="IL5" s="3" t="str">
        <f t="shared" si="143"/>
        <v>Sa</v>
      </c>
      <c r="IM5" s="3" t="str">
        <f t="shared" si="143"/>
        <v>So</v>
      </c>
      <c r="IN5" s="3" t="str">
        <f t="shared" si="143"/>
        <v>Mo</v>
      </c>
      <c r="IO5" s="3" t="str">
        <f t="shared" si="143"/>
        <v>Di</v>
      </c>
      <c r="IP5" s="3" t="str">
        <f t="shared" si="143"/>
        <v>Mi</v>
      </c>
      <c r="IQ5" s="3" t="str">
        <f t="shared" si="143"/>
        <v>Do</v>
      </c>
      <c r="IR5" s="3" t="str">
        <f t="shared" si="143"/>
        <v>Fr</v>
      </c>
      <c r="IS5" s="3" t="str">
        <f t="shared" si="143"/>
        <v>Sa</v>
      </c>
      <c r="IT5" s="3" t="str">
        <f t="shared" si="143"/>
        <v>So</v>
      </c>
      <c r="IU5" s="3" t="str">
        <f t="shared" si="143"/>
        <v>Mo</v>
      </c>
      <c r="IV5" s="3" t="str">
        <f t="shared" si="143"/>
        <v>Di</v>
      </c>
      <c r="IW5" s="3" t="str">
        <f t="shared" si="143"/>
        <v>Mi</v>
      </c>
      <c r="IX5" s="3" t="str">
        <f t="shared" si="143"/>
        <v>Do</v>
      </c>
      <c r="IY5" s="3" t="str">
        <f t="shared" si="143"/>
        <v>Fr</v>
      </c>
      <c r="IZ5" s="3" t="str">
        <f t="shared" si="143"/>
        <v>Sa</v>
      </c>
      <c r="JA5" s="3" t="str">
        <f t="shared" si="143"/>
        <v>So</v>
      </c>
      <c r="JB5" s="3" t="str">
        <f t="shared" si="143"/>
        <v>Mo</v>
      </c>
      <c r="JC5" s="3" t="str">
        <f t="shared" si="143"/>
        <v>Di</v>
      </c>
      <c r="JD5" s="3" t="str">
        <f t="shared" si="143"/>
        <v>Mi</v>
      </c>
      <c r="JE5" s="3" t="str">
        <f t="shared" si="143"/>
        <v>Do</v>
      </c>
      <c r="JF5" s="3" t="str">
        <f t="shared" si="143"/>
        <v>Fr</v>
      </c>
      <c r="JG5" s="3" t="str">
        <f t="shared" si="143"/>
        <v>Sa</v>
      </c>
      <c r="JH5" s="3" t="str">
        <f t="shared" si="143"/>
        <v>So</v>
      </c>
      <c r="JI5" s="3" t="str">
        <f t="shared" si="143"/>
        <v>Mo</v>
      </c>
      <c r="JJ5" s="3" t="str">
        <f t="shared" si="143"/>
        <v>Di</v>
      </c>
      <c r="JK5" s="3" t="str">
        <f t="shared" si="143"/>
        <v>Mi</v>
      </c>
      <c r="JL5" s="3" t="str">
        <f t="shared" ref="JL5:LO5" si="144">TEXT(JL4,"TTT")</f>
        <v>Do</v>
      </c>
      <c r="JM5" s="3" t="str">
        <f t="shared" si="144"/>
        <v>Fr</v>
      </c>
      <c r="JN5" s="3" t="str">
        <f t="shared" si="144"/>
        <v>Sa</v>
      </c>
      <c r="JO5" s="3" t="str">
        <f t="shared" si="144"/>
        <v>So</v>
      </c>
      <c r="JP5" s="3" t="str">
        <f t="shared" si="144"/>
        <v>Mo</v>
      </c>
      <c r="JQ5" s="3" t="str">
        <f t="shared" si="144"/>
        <v>Di</v>
      </c>
      <c r="JR5" s="3" t="str">
        <f t="shared" si="144"/>
        <v>Mi</v>
      </c>
      <c r="JS5" s="3" t="str">
        <f t="shared" si="144"/>
        <v>Do</v>
      </c>
      <c r="JT5" s="3" t="str">
        <f t="shared" si="144"/>
        <v>Fr</v>
      </c>
      <c r="JU5" s="3" t="str">
        <f t="shared" si="144"/>
        <v>Sa</v>
      </c>
      <c r="JV5" s="3" t="str">
        <f t="shared" si="144"/>
        <v>So</v>
      </c>
      <c r="JW5" s="3" t="str">
        <f t="shared" si="144"/>
        <v>Mo</v>
      </c>
      <c r="JX5" s="3" t="str">
        <f t="shared" si="144"/>
        <v>Di</v>
      </c>
      <c r="JY5" s="3" t="str">
        <f t="shared" si="144"/>
        <v>Mi</v>
      </c>
      <c r="JZ5" s="3" t="str">
        <f t="shared" si="144"/>
        <v>Do</v>
      </c>
      <c r="KA5" s="3" t="str">
        <f t="shared" si="144"/>
        <v>Fr</v>
      </c>
      <c r="KB5" s="3" t="str">
        <f t="shared" si="144"/>
        <v>Sa</v>
      </c>
      <c r="KC5" s="3" t="str">
        <f t="shared" si="144"/>
        <v>So</v>
      </c>
      <c r="KD5" s="3" t="str">
        <f t="shared" si="144"/>
        <v>Mo</v>
      </c>
      <c r="KE5" s="3" t="str">
        <f t="shared" si="144"/>
        <v>Di</v>
      </c>
      <c r="KF5" s="3" t="str">
        <f t="shared" si="144"/>
        <v>Mi</v>
      </c>
      <c r="KG5" s="3" t="str">
        <f t="shared" si="144"/>
        <v>Do</v>
      </c>
      <c r="KH5" s="3" t="str">
        <f t="shared" si="144"/>
        <v>Fr</v>
      </c>
      <c r="KI5" s="3" t="str">
        <f t="shared" si="144"/>
        <v>Sa</v>
      </c>
      <c r="KJ5" s="3" t="str">
        <f t="shared" si="144"/>
        <v>So</v>
      </c>
      <c r="KK5" s="3" t="str">
        <f t="shared" si="144"/>
        <v>Mo</v>
      </c>
      <c r="KL5" s="3" t="str">
        <f t="shared" si="144"/>
        <v>Di</v>
      </c>
      <c r="KM5" s="3" t="str">
        <f t="shared" si="144"/>
        <v>Mi</v>
      </c>
      <c r="KN5" s="3" t="str">
        <f t="shared" si="144"/>
        <v>Do</v>
      </c>
      <c r="KO5" s="3" t="str">
        <f t="shared" si="144"/>
        <v>Fr</v>
      </c>
      <c r="KP5" s="3" t="str">
        <f t="shared" si="144"/>
        <v>Sa</v>
      </c>
      <c r="KQ5" s="3" t="str">
        <f t="shared" si="144"/>
        <v>So</v>
      </c>
      <c r="KR5" s="3" t="str">
        <f t="shared" si="144"/>
        <v>Mo</v>
      </c>
      <c r="KS5" s="3" t="str">
        <f t="shared" si="144"/>
        <v>Di</v>
      </c>
      <c r="KT5" s="3" t="str">
        <f t="shared" si="144"/>
        <v>Mi</v>
      </c>
      <c r="KU5" s="3" t="str">
        <f t="shared" si="144"/>
        <v>Do</v>
      </c>
      <c r="KV5" s="3" t="str">
        <f t="shared" si="144"/>
        <v>Fr</v>
      </c>
      <c r="KW5" s="3" t="str">
        <f t="shared" si="144"/>
        <v>Sa</v>
      </c>
      <c r="KX5" s="3" t="str">
        <f t="shared" si="144"/>
        <v>So</v>
      </c>
      <c r="KY5" s="3" t="str">
        <f t="shared" si="144"/>
        <v>Mo</v>
      </c>
      <c r="KZ5" s="3" t="str">
        <f t="shared" si="144"/>
        <v>Di</v>
      </c>
      <c r="LA5" s="3" t="str">
        <f t="shared" si="144"/>
        <v>Mi</v>
      </c>
      <c r="LB5" s="3" t="str">
        <f t="shared" si="144"/>
        <v>Do</v>
      </c>
      <c r="LC5" s="3" t="str">
        <f t="shared" si="144"/>
        <v>Fr</v>
      </c>
      <c r="LD5" s="3" t="str">
        <f t="shared" si="144"/>
        <v>Sa</v>
      </c>
      <c r="LE5" s="3" t="str">
        <f t="shared" si="144"/>
        <v>So</v>
      </c>
      <c r="LF5" s="3" t="str">
        <f t="shared" si="144"/>
        <v>Mo</v>
      </c>
      <c r="LG5" s="3" t="str">
        <f t="shared" si="144"/>
        <v>Di</v>
      </c>
      <c r="LH5" s="3" t="str">
        <f t="shared" si="144"/>
        <v>Mi</v>
      </c>
      <c r="LI5" s="3" t="str">
        <f t="shared" si="144"/>
        <v>Do</v>
      </c>
      <c r="LJ5" s="3" t="str">
        <f t="shared" si="144"/>
        <v>Fr</v>
      </c>
      <c r="LK5" s="3" t="str">
        <f t="shared" si="144"/>
        <v>Sa</v>
      </c>
      <c r="LL5" s="3" t="str">
        <f t="shared" si="144"/>
        <v>So</v>
      </c>
      <c r="LM5" s="3" t="str">
        <f t="shared" si="144"/>
        <v>Mo</v>
      </c>
      <c r="LN5" s="3" t="str">
        <f t="shared" si="144"/>
        <v>Di</v>
      </c>
      <c r="LO5" s="3" t="str">
        <f t="shared" si="144"/>
        <v>Mi</v>
      </c>
      <c r="LP5" s="3" t="str">
        <f t="shared" ref="LP5:NG5" si="145">TEXT(LP4,"TTT")</f>
        <v>Do</v>
      </c>
      <c r="LQ5" s="3" t="str">
        <f t="shared" si="145"/>
        <v>Fr</v>
      </c>
      <c r="LR5" s="3" t="str">
        <f t="shared" si="145"/>
        <v>Sa</v>
      </c>
      <c r="LS5" s="3" t="str">
        <f t="shared" si="145"/>
        <v>So</v>
      </c>
      <c r="LT5" s="3" t="str">
        <f t="shared" si="145"/>
        <v>Mo</v>
      </c>
      <c r="LU5" s="3" t="str">
        <f t="shared" si="145"/>
        <v>Di</v>
      </c>
      <c r="LV5" s="3" t="str">
        <f t="shared" si="145"/>
        <v>Mi</v>
      </c>
      <c r="LW5" s="3" t="str">
        <f t="shared" si="145"/>
        <v>Do</v>
      </c>
      <c r="LX5" s="3" t="str">
        <f t="shared" si="145"/>
        <v>Fr</v>
      </c>
      <c r="LY5" s="3" t="str">
        <f t="shared" si="145"/>
        <v>Sa</v>
      </c>
      <c r="LZ5" s="3" t="str">
        <f t="shared" si="145"/>
        <v>So</v>
      </c>
      <c r="MA5" s="3" t="str">
        <f t="shared" si="145"/>
        <v>Mo</v>
      </c>
      <c r="MB5" s="3" t="str">
        <f t="shared" si="145"/>
        <v>Di</v>
      </c>
      <c r="MC5" s="3" t="str">
        <f t="shared" si="145"/>
        <v>Mi</v>
      </c>
      <c r="MD5" s="3" t="str">
        <f t="shared" si="145"/>
        <v>Do</v>
      </c>
      <c r="ME5" s="3" t="str">
        <f t="shared" si="145"/>
        <v>Fr</v>
      </c>
      <c r="MF5" s="3" t="str">
        <f t="shared" si="145"/>
        <v>Sa</v>
      </c>
      <c r="MG5" s="3" t="str">
        <f t="shared" si="145"/>
        <v>So</v>
      </c>
      <c r="MH5" s="3" t="str">
        <f t="shared" si="145"/>
        <v>Mo</v>
      </c>
      <c r="MI5" s="3" t="str">
        <f t="shared" si="145"/>
        <v>Di</v>
      </c>
      <c r="MJ5" s="3" t="str">
        <f t="shared" si="145"/>
        <v>Mi</v>
      </c>
      <c r="MK5" s="3" t="str">
        <f t="shared" si="145"/>
        <v>Do</v>
      </c>
      <c r="ML5" s="3" t="str">
        <f t="shared" si="145"/>
        <v>Fr</v>
      </c>
      <c r="MM5" s="3" t="str">
        <f t="shared" si="145"/>
        <v>Sa</v>
      </c>
      <c r="MN5" s="3" t="str">
        <f t="shared" si="145"/>
        <v>So</v>
      </c>
      <c r="MO5" s="3" t="str">
        <f t="shared" si="145"/>
        <v>Mo</v>
      </c>
      <c r="MP5" s="3" t="str">
        <f t="shared" si="145"/>
        <v>Di</v>
      </c>
      <c r="MQ5" s="3" t="str">
        <f t="shared" si="145"/>
        <v>Mi</v>
      </c>
      <c r="MR5" s="3" t="str">
        <f t="shared" si="145"/>
        <v>Do</v>
      </c>
      <c r="MS5" s="3" t="str">
        <f t="shared" si="145"/>
        <v>Fr</v>
      </c>
      <c r="MT5" s="3" t="str">
        <f t="shared" si="145"/>
        <v>Sa</v>
      </c>
      <c r="MU5" s="3" t="str">
        <f t="shared" si="145"/>
        <v>So</v>
      </c>
      <c r="MV5" s="3" t="str">
        <f t="shared" si="145"/>
        <v>Mo</v>
      </c>
      <c r="MW5" s="3" t="str">
        <f t="shared" si="145"/>
        <v>Di</v>
      </c>
      <c r="MX5" s="3" t="str">
        <f t="shared" si="145"/>
        <v>Mi</v>
      </c>
      <c r="MY5" s="3" t="str">
        <f t="shared" si="145"/>
        <v>Do</v>
      </c>
      <c r="MZ5" s="3" t="str">
        <f t="shared" si="145"/>
        <v>Fr</v>
      </c>
      <c r="NA5" s="3" t="str">
        <f t="shared" si="145"/>
        <v>Sa</v>
      </c>
      <c r="NB5" s="3" t="str">
        <f t="shared" si="145"/>
        <v>So</v>
      </c>
      <c r="NC5" s="3" t="str">
        <f t="shared" si="145"/>
        <v>Mo</v>
      </c>
      <c r="ND5" s="3" t="str">
        <f t="shared" si="145"/>
        <v>Di</v>
      </c>
      <c r="NE5" s="3" t="str">
        <f t="shared" si="145"/>
        <v>Mi</v>
      </c>
      <c r="NF5" s="3" t="str">
        <f t="shared" si="145"/>
        <v>Do</v>
      </c>
      <c r="NG5" s="3" t="str">
        <f t="shared" si="145"/>
        <v>Fr</v>
      </c>
      <c r="NH5" s="3" t="str">
        <f>IF(COUNTIF(AL2:BN2,2)&gt;28,TEXT(NH4,"TTT"),"")</f>
        <v/>
      </c>
    </row>
    <row r="6" spans="1:375" ht="18" x14ac:dyDescent="0.25">
      <c r="B6" s="34" t="s">
        <v>447</v>
      </c>
      <c r="C6" s="71">
        <v>2027</v>
      </c>
      <c r="G6" s="36" t="str">
        <f>DAY(G4)&amp;"."&amp;MONTH(G4)&amp;"."</f>
        <v>1.1.</v>
      </c>
      <c r="H6" s="36" t="str">
        <f>DAY(H4)&amp;"."&amp;MONTH(H4)&amp;"."</f>
        <v>2.1.</v>
      </c>
      <c r="I6" s="36" t="str">
        <f t="shared" ref="I6:BT6" si="146">DAY(I4)&amp;"."&amp;MONTH(I4)&amp;"."</f>
        <v>3.1.</v>
      </c>
      <c r="J6" s="36" t="str">
        <f t="shared" si="146"/>
        <v>4.1.</v>
      </c>
      <c r="K6" s="36" t="str">
        <f t="shared" si="146"/>
        <v>5.1.</v>
      </c>
      <c r="L6" s="36" t="str">
        <f t="shared" si="146"/>
        <v>6.1.</v>
      </c>
      <c r="M6" s="36" t="str">
        <f t="shared" si="146"/>
        <v>7.1.</v>
      </c>
      <c r="N6" s="36" t="str">
        <f t="shared" si="146"/>
        <v>8.1.</v>
      </c>
      <c r="O6" s="36" t="str">
        <f t="shared" si="146"/>
        <v>9.1.</v>
      </c>
      <c r="P6" s="36" t="str">
        <f t="shared" si="146"/>
        <v>10.1.</v>
      </c>
      <c r="Q6" s="36" t="str">
        <f t="shared" si="146"/>
        <v>11.1.</v>
      </c>
      <c r="R6" s="36" t="str">
        <f t="shared" si="146"/>
        <v>12.1.</v>
      </c>
      <c r="S6" s="36" t="str">
        <f t="shared" si="146"/>
        <v>13.1.</v>
      </c>
      <c r="T6" s="36" t="str">
        <f t="shared" si="146"/>
        <v>14.1.</v>
      </c>
      <c r="U6" s="36" t="str">
        <f t="shared" si="146"/>
        <v>15.1.</v>
      </c>
      <c r="V6" s="36" t="str">
        <f t="shared" si="146"/>
        <v>16.1.</v>
      </c>
      <c r="W6" s="36" t="str">
        <f t="shared" si="146"/>
        <v>17.1.</v>
      </c>
      <c r="X6" s="36" t="str">
        <f t="shared" si="146"/>
        <v>18.1.</v>
      </c>
      <c r="Y6" s="36" t="str">
        <f t="shared" si="146"/>
        <v>19.1.</v>
      </c>
      <c r="Z6" s="36" t="str">
        <f t="shared" si="146"/>
        <v>20.1.</v>
      </c>
      <c r="AA6" s="36" t="str">
        <f t="shared" si="146"/>
        <v>21.1.</v>
      </c>
      <c r="AB6" s="36" t="str">
        <f t="shared" si="146"/>
        <v>22.1.</v>
      </c>
      <c r="AC6" s="36" t="str">
        <f t="shared" si="146"/>
        <v>23.1.</v>
      </c>
      <c r="AD6" s="36" t="str">
        <f t="shared" si="146"/>
        <v>24.1.</v>
      </c>
      <c r="AE6" s="36" t="str">
        <f t="shared" si="146"/>
        <v>25.1.</v>
      </c>
      <c r="AF6" s="36" t="str">
        <f t="shared" si="146"/>
        <v>26.1.</v>
      </c>
      <c r="AG6" s="36" t="str">
        <f t="shared" si="146"/>
        <v>27.1.</v>
      </c>
      <c r="AH6" s="36" t="str">
        <f t="shared" si="146"/>
        <v>28.1.</v>
      </c>
      <c r="AI6" s="36" t="str">
        <f t="shared" si="146"/>
        <v>29.1.</v>
      </c>
      <c r="AJ6" s="36" t="str">
        <f t="shared" si="146"/>
        <v>30.1.</v>
      </c>
      <c r="AK6" s="36" t="str">
        <f t="shared" si="146"/>
        <v>31.1.</v>
      </c>
      <c r="AL6" s="36" t="str">
        <f t="shared" si="146"/>
        <v>1.2.</v>
      </c>
      <c r="AM6" s="36" t="str">
        <f t="shared" si="146"/>
        <v>2.2.</v>
      </c>
      <c r="AN6" s="36" t="str">
        <f t="shared" si="146"/>
        <v>3.2.</v>
      </c>
      <c r="AO6" s="36" t="str">
        <f t="shared" si="146"/>
        <v>4.2.</v>
      </c>
      <c r="AP6" s="36" t="str">
        <f t="shared" si="146"/>
        <v>5.2.</v>
      </c>
      <c r="AQ6" s="36" t="str">
        <f t="shared" si="146"/>
        <v>6.2.</v>
      </c>
      <c r="AR6" s="36" t="str">
        <f t="shared" si="146"/>
        <v>7.2.</v>
      </c>
      <c r="AS6" s="36" t="str">
        <f t="shared" si="146"/>
        <v>8.2.</v>
      </c>
      <c r="AT6" s="36" t="str">
        <f t="shared" si="146"/>
        <v>9.2.</v>
      </c>
      <c r="AU6" s="36" t="str">
        <f t="shared" si="146"/>
        <v>10.2.</v>
      </c>
      <c r="AV6" s="36" t="str">
        <f t="shared" si="146"/>
        <v>11.2.</v>
      </c>
      <c r="AW6" s="36" t="str">
        <f t="shared" si="146"/>
        <v>12.2.</v>
      </c>
      <c r="AX6" s="36" t="str">
        <f t="shared" si="146"/>
        <v>13.2.</v>
      </c>
      <c r="AY6" s="36" t="str">
        <f t="shared" si="146"/>
        <v>14.2.</v>
      </c>
      <c r="AZ6" s="36" t="str">
        <f t="shared" si="146"/>
        <v>15.2.</v>
      </c>
      <c r="BA6" s="36" t="str">
        <f t="shared" si="146"/>
        <v>16.2.</v>
      </c>
      <c r="BB6" s="36" t="str">
        <f t="shared" si="146"/>
        <v>17.2.</v>
      </c>
      <c r="BC6" s="36" t="str">
        <f t="shared" si="146"/>
        <v>18.2.</v>
      </c>
      <c r="BD6" s="36" t="str">
        <f t="shared" si="146"/>
        <v>19.2.</v>
      </c>
      <c r="BE6" s="36" t="str">
        <f t="shared" si="146"/>
        <v>20.2.</v>
      </c>
      <c r="BF6" s="36" t="str">
        <f t="shared" si="146"/>
        <v>21.2.</v>
      </c>
      <c r="BG6" s="36" t="str">
        <f t="shared" si="146"/>
        <v>22.2.</v>
      </c>
      <c r="BH6" s="36" t="str">
        <f t="shared" si="146"/>
        <v>23.2.</v>
      </c>
      <c r="BI6" s="36" t="str">
        <f t="shared" si="146"/>
        <v>24.2.</v>
      </c>
      <c r="BJ6" s="36" t="str">
        <f t="shared" si="146"/>
        <v>25.2.</v>
      </c>
      <c r="BK6" s="36" t="str">
        <f t="shared" si="146"/>
        <v>26.2.</v>
      </c>
      <c r="BL6" s="36" t="str">
        <f t="shared" si="146"/>
        <v>27.2.</v>
      </c>
      <c r="BM6" s="36" t="str">
        <f t="shared" si="146"/>
        <v>28.2.</v>
      </c>
      <c r="BN6" s="36" t="str">
        <f t="shared" si="146"/>
        <v>1.3.</v>
      </c>
      <c r="BO6" s="36" t="str">
        <f t="shared" si="146"/>
        <v>2.3.</v>
      </c>
      <c r="BP6" s="36" t="str">
        <f t="shared" si="146"/>
        <v>3.3.</v>
      </c>
      <c r="BQ6" s="36" t="str">
        <f t="shared" si="146"/>
        <v>4.3.</v>
      </c>
      <c r="BR6" s="36" t="str">
        <f t="shared" si="146"/>
        <v>5.3.</v>
      </c>
      <c r="BS6" s="36" t="str">
        <f t="shared" si="146"/>
        <v>6.3.</v>
      </c>
      <c r="BT6" s="36" t="str">
        <f t="shared" si="146"/>
        <v>7.3.</v>
      </c>
      <c r="BU6" s="36" t="str">
        <f t="shared" ref="BU6:EF6" si="147">DAY(BU4)&amp;"."&amp;MONTH(BU4)&amp;"."</f>
        <v>8.3.</v>
      </c>
      <c r="BV6" s="36" t="str">
        <f t="shared" si="147"/>
        <v>9.3.</v>
      </c>
      <c r="BW6" s="36" t="str">
        <f t="shared" si="147"/>
        <v>10.3.</v>
      </c>
      <c r="BX6" s="36" t="str">
        <f t="shared" si="147"/>
        <v>11.3.</v>
      </c>
      <c r="BY6" s="36" t="str">
        <f t="shared" si="147"/>
        <v>12.3.</v>
      </c>
      <c r="BZ6" s="36" t="str">
        <f t="shared" si="147"/>
        <v>13.3.</v>
      </c>
      <c r="CA6" s="36" t="str">
        <f t="shared" si="147"/>
        <v>14.3.</v>
      </c>
      <c r="CB6" s="36" t="str">
        <f t="shared" si="147"/>
        <v>15.3.</v>
      </c>
      <c r="CC6" s="36" t="str">
        <f t="shared" si="147"/>
        <v>16.3.</v>
      </c>
      <c r="CD6" s="36" t="str">
        <f t="shared" si="147"/>
        <v>17.3.</v>
      </c>
      <c r="CE6" s="36" t="str">
        <f t="shared" si="147"/>
        <v>18.3.</v>
      </c>
      <c r="CF6" s="36" t="str">
        <f t="shared" si="147"/>
        <v>19.3.</v>
      </c>
      <c r="CG6" s="36" t="str">
        <f t="shared" si="147"/>
        <v>20.3.</v>
      </c>
      <c r="CH6" s="36" t="str">
        <f t="shared" si="147"/>
        <v>21.3.</v>
      </c>
      <c r="CI6" s="36" t="str">
        <f t="shared" si="147"/>
        <v>22.3.</v>
      </c>
      <c r="CJ6" s="36" t="str">
        <f t="shared" si="147"/>
        <v>23.3.</v>
      </c>
      <c r="CK6" s="36" t="str">
        <f t="shared" si="147"/>
        <v>24.3.</v>
      </c>
      <c r="CL6" s="36" t="str">
        <f t="shared" si="147"/>
        <v>25.3.</v>
      </c>
      <c r="CM6" s="36" t="str">
        <f t="shared" si="147"/>
        <v>26.3.</v>
      </c>
      <c r="CN6" s="36" t="str">
        <f t="shared" si="147"/>
        <v>27.3.</v>
      </c>
      <c r="CO6" s="36" t="str">
        <f t="shared" si="147"/>
        <v>28.3.</v>
      </c>
      <c r="CP6" s="36" t="str">
        <f t="shared" si="147"/>
        <v>29.3.</v>
      </c>
      <c r="CQ6" s="36" t="str">
        <f t="shared" si="147"/>
        <v>30.3.</v>
      </c>
      <c r="CR6" s="36" t="str">
        <f t="shared" si="147"/>
        <v>31.3.</v>
      </c>
      <c r="CS6" s="36" t="str">
        <f t="shared" si="147"/>
        <v>1.4.</v>
      </c>
      <c r="CT6" s="36" t="str">
        <f t="shared" si="147"/>
        <v>2.4.</v>
      </c>
      <c r="CU6" s="36" t="str">
        <f t="shared" si="147"/>
        <v>3.4.</v>
      </c>
      <c r="CV6" s="36" t="str">
        <f t="shared" si="147"/>
        <v>4.4.</v>
      </c>
      <c r="CW6" s="36" t="str">
        <f t="shared" si="147"/>
        <v>5.4.</v>
      </c>
      <c r="CX6" s="36" t="str">
        <f t="shared" si="147"/>
        <v>6.4.</v>
      </c>
      <c r="CY6" s="36" t="str">
        <f t="shared" si="147"/>
        <v>7.4.</v>
      </c>
      <c r="CZ6" s="36" t="str">
        <f t="shared" si="147"/>
        <v>8.4.</v>
      </c>
      <c r="DA6" s="36" t="str">
        <f t="shared" si="147"/>
        <v>9.4.</v>
      </c>
      <c r="DB6" s="36" t="str">
        <f t="shared" si="147"/>
        <v>10.4.</v>
      </c>
      <c r="DC6" s="36" t="str">
        <f t="shared" si="147"/>
        <v>11.4.</v>
      </c>
      <c r="DD6" s="36" t="str">
        <f t="shared" si="147"/>
        <v>12.4.</v>
      </c>
      <c r="DE6" s="36" t="str">
        <f t="shared" si="147"/>
        <v>13.4.</v>
      </c>
      <c r="DF6" s="36" t="str">
        <f t="shared" si="147"/>
        <v>14.4.</v>
      </c>
      <c r="DG6" s="36" t="str">
        <f t="shared" si="147"/>
        <v>15.4.</v>
      </c>
      <c r="DH6" s="36" t="str">
        <f t="shared" si="147"/>
        <v>16.4.</v>
      </c>
      <c r="DI6" s="36" t="str">
        <f t="shared" si="147"/>
        <v>17.4.</v>
      </c>
      <c r="DJ6" s="36" t="str">
        <f t="shared" si="147"/>
        <v>18.4.</v>
      </c>
      <c r="DK6" s="36" t="str">
        <f t="shared" si="147"/>
        <v>19.4.</v>
      </c>
      <c r="DL6" s="36" t="str">
        <f t="shared" si="147"/>
        <v>20.4.</v>
      </c>
      <c r="DM6" s="36" t="str">
        <f t="shared" si="147"/>
        <v>21.4.</v>
      </c>
      <c r="DN6" s="36" t="str">
        <f t="shared" si="147"/>
        <v>22.4.</v>
      </c>
      <c r="DO6" s="36" t="str">
        <f t="shared" si="147"/>
        <v>23.4.</v>
      </c>
      <c r="DP6" s="36" t="str">
        <f t="shared" si="147"/>
        <v>24.4.</v>
      </c>
      <c r="DQ6" s="36" t="str">
        <f t="shared" si="147"/>
        <v>25.4.</v>
      </c>
      <c r="DR6" s="36" t="str">
        <f t="shared" si="147"/>
        <v>26.4.</v>
      </c>
      <c r="DS6" s="36" t="str">
        <f t="shared" si="147"/>
        <v>27.4.</v>
      </c>
      <c r="DT6" s="36" t="str">
        <f t="shared" si="147"/>
        <v>28.4.</v>
      </c>
      <c r="DU6" s="36" t="str">
        <f t="shared" si="147"/>
        <v>29.4.</v>
      </c>
      <c r="DV6" s="36" t="str">
        <f t="shared" si="147"/>
        <v>30.4.</v>
      </c>
      <c r="DW6" s="36" t="str">
        <f t="shared" si="147"/>
        <v>1.5.</v>
      </c>
      <c r="DX6" s="36" t="str">
        <f t="shared" si="147"/>
        <v>2.5.</v>
      </c>
      <c r="DY6" s="36" t="str">
        <f t="shared" si="147"/>
        <v>3.5.</v>
      </c>
      <c r="DZ6" s="36" t="str">
        <f t="shared" si="147"/>
        <v>4.5.</v>
      </c>
      <c r="EA6" s="36" t="str">
        <f t="shared" si="147"/>
        <v>5.5.</v>
      </c>
      <c r="EB6" s="36" t="str">
        <f t="shared" si="147"/>
        <v>6.5.</v>
      </c>
      <c r="EC6" s="36" t="str">
        <f t="shared" si="147"/>
        <v>7.5.</v>
      </c>
      <c r="ED6" s="36" t="str">
        <f t="shared" si="147"/>
        <v>8.5.</v>
      </c>
      <c r="EE6" s="36" t="str">
        <f t="shared" si="147"/>
        <v>9.5.</v>
      </c>
      <c r="EF6" s="36" t="str">
        <f t="shared" si="147"/>
        <v>10.5.</v>
      </c>
      <c r="EG6" s="36" t="str">
        <f t="shared" ref="EG6:GR6" si="148">DAY(EG4)&amp;"."&amp;MONTH(EG4)&amp;"."</f>
        <v>11.5.</v>
      </c>
      <c r="EH6" s="36" t="str">
        <f t="shared" si="148"/>
        <v>12.5.</v>
      </c>
      <c r="EI6" s="36" t="str">
        <f t="shared" si="148"/>
        <v>13.5.</v>
      </c>
      <c r="EJ6" s="36" t="str">
        <f t="shared" si="148"/>
        <v>14.5.</v>
      </c>
      <c r="EK6" s="36" t="str">
        <f t="shared" si="148"/>
        <v>15.5.</v>
      </c>
      <c r="EL6" s="36" t="str">
        <f t="shared" si="148"/>
        <v>16.5.</v>
      </c>
      <c r="EM6" s="36" t="str">
        <f t="shared" si="148"/>
        <v>17.5.</v>
      </c>
      <c r="EN6" s="36" t="str">
        <f t="shared" si="148"/>
        <v>18.5.</v>
      </c>
      <c r="EO6" s="36" t="str">
        <f t="shared" si="148"/>
        <v>19.5.</v>
      </c>
      <c r="EP6" s="36" t="str">
        <f t="shared" si="148"/>
        <v>20.5.</v>
      </c>
      <c r="EQ6" s="36" t="str">
        <f t="shared" si="148"/>
        <v>21.5.</v>
      </c>
      <c r="ER6" s="36" t="str">
        <f t="shared" si="148"/>
        <v>22.5.</v>
      </c>
      <c r="ES6" s="36" t="str">
        <f t="shared" si="148"/>
        <v>23.5.</v>
      </c>
      <c r="ET6" s="36" t="str">
        <f t="shared" si="148"/>
        <v>24.5.</v>
      </c>
      <c r="EU6" s="36" t="str">
        <f t="shared" si="148"/>
        <v>25.5.</v>
      </c>
      <c r="EV6" s="36" t="str">
        <f t="shared" si="148"/>
        <v>26.5.</v>
      </c>
      <c r="EW6" s="36" t="str">
        <f t="shared" si="148"/>
        <v>27.5.</v>
      </c>
      <c r="EX6" s="36" t="str">
        <f t="shared" si="148"/>
        <v>28.5.</v>
      </c>
      <c r="EY6" s="36" t="str">
        <f t="shared" si="148"/>
        <v>29.5.</v>
      </c>
      <c r="EZ6" s="36" t="str">
        <f t="shared" si="148"/>
        <v>30.5.</v>
      </c>
      <c r="FA6" s="36" t="str">
        <f t="shared" si="148"/>
        <v>31.5.</v>
      </c>
      <c r="FB6" s="36" t="str">
        <f t="shared" si="148"/>
        <v>1.6.</v>
      </c>
      <c r="FC6" s="36" t="str">
        <f t="shared" si="148"/>
        <v>2.6.</v>
      </c>
      <c r="FD6" s="36" t="str">
        <f t="shared" si="148"/>
        <v>3.6.</v>
      </c>
      <c r="FE6" s="36" t="str">
        <f t="shared" si="148"/>
        <v>4.6.</v>
      </c>
      <c r="FF6" s="36" t="str">
        <f t="shared" si="148"/>
        <v>5.6.</v>
      </c>
      <c r="FG6" s="36" t="str">
        <f t="shared" si="148"/>
        <v>6.6.</v>
      </c>
      <c r="FH6" s="36" t="str">
        <f t="shared" si="148"/>
        <v>7.6.</v>
      </c>
      <c r="FI6" s="36" t="str">
        <f t="shared" si="148"/>
        <v>8.6.</v>
      </c>
      <c r="FJ6" s="36" t="str">
        <f t="shared" si="148"/>
        <v>9.6.</v>
      </c>
      <c r="FK6" s="36" t="str">
        <f t="shared" si="148"/>
        <v>10.6.</v>
      </c>
      <c r="FL6" s="36" t="str">
        <f t="shared" si="148"/>
        <v>11.6.</v>
      </c>
      <c r="FM6" s="36" t="str">
        <f t="shared" si="148"/>
        <v>12.6.</v>
      </c>
      <c r="FN6" s="36" t="str">
        <f t="shared" si="148"/>
        <v>13.6.</v>
      </c>
      <c r="FO6" s="36" t="str">
        <f t="shared" si="148"/>
        <v>14.6.</v>
      </c>
      <c r="FP6" s="36" t="str">
        <f t="shared" si="148"/>
        <v>15.6.</v>
      </c>
      <c r="FQ6" s="36" t="str">
        <f t="shared" si="148"/>
        <v>16.6.</v>
      </c>
      <c r="FR6" s="36" t="str">
        <f t="shared" si="148"/>
        <v>17.6.</v>
      </c>
      <c r="FS6" s="36" t="str">
        <f t="shared" si="148"/>
        <v>18.6.</v>
      </c>
      <c r="FT6" s="36" t="str">
        <f t="shared" si="148"/>
        <v>19.6.</v>
      </c>
      <c r="FU6" s="36" t="str">
        <f t="shared" si="148"/>
        <v>20.6.</v>
      </c>
      <c r="FV6" s="36" t="str">
        <f t="shared" si="148"/>
        <v>21.6.</v>
      </c>
      <c r="FW6" s="36" t="str">
        <f t="shared" si="148"/>
        <v>22.6.</v>
      </c>
      <c r="FX6" s="36" t="str">
        <f t="shared" si="148"/>
        <v>23.6.</v>
      </c>
      <c r="FY6" s="36" t="str">
        <f t="shared" si="148"/>
        <v>24.6.</v>
      </c>
      <c r="FZ6" s="36" t="str">
        <f t="shared" si="148"/>
        <v>25.6.</v>
      </c>
      <c r="GA6" s="36" t="str">
        <f t="shared" si="148"/>
        <v>26.6.</v>
      </c>
      <c r="GB6" s="36" t="str">
        <f t="shared" si="148"/>
        <v>27.6.</v>
      </c>
      <c r="GC6" s="36" t="str">
        <f t="shared" si="148"/>
        <v>28.6.</v>
      </c>
      <c r="GD6" s="36" t="str">
        <f t="shared" si="148"/>
        <v>29.6.</v>
      </c>
      <c r="GE6" s="36" t="str">
        <f t="shared" si="148"/>
        <v>30.6.</v>
      </c>
      <c r="GF6" s="36" t="str">
        <f t="shared" si="148"/>
        <v>1.7.</v>
      </c>
      <c r="GG6" s="36" t="str">
        <f t="shared" si="148"/>
        <v>2.7.</v>
      </c>
      <c r="GH6" s="36" t="str">
        <f t="shared" si="148"/>
        <v>3.7.</v>
      </c>
      <c r="GI6" s="36" t="str">
        <f t="shared" si="148"/>
        <v>4.7.</v>
      </c>
      <c r="GJ6" s="36" t="str">
        <f t="shared" si="148"/>
        <v>5.7.</v>
      </c>
      <c r="GK6" s="36" t="str">
        <f t="shared" si="148"/>
        <v>6.7.</v>
      </c>
      <c r="GL6" s="36" t="str">
        <f t="shared" si="148"/>
        <v>7.7.</v>
      </c>
      <c r="GM6" s="36" t="str">
        <f t="shared" si="148"/>
        <v>8.7.</v>
      </c>
      <c r="GN6" s="36" t="str">
        <f t="shared" si="148"/>
        <v>9.7.</v>
      </c>
      <c r="GO6" s="36" t="str">
        <f t="shared" si="148"/>
        <v>10.7.</v>
      </c>
      <c r="GP6" s="36" t="str">
        <f t="shared" si="148"/>
        <v>11.7.</v>
      </c>
      <c r="GQ6" s="36" t="str">
        <f t="shared" si="148"/>
        <v>12.7.</v>
      </c>
      <c r="GR6" s="36" t="str">
        <f t="shared" si="148"/>
        <v>13.7.</v>
      </c>
      <c r="GS6" s="36" t="str">
        <f t="shared" ref="GS6:GT6" si="149">DAY(GS4)&amp;"."&amp;MONTH(GS4)&amp;"."</f>
        <v>14.7.</v>
      </c>
      <c r="GT6" s="36" t="str">
        <f t="shared" si="149"/>
        <v>15.7.</v>
      </c>
      <c r="GU6" s="36" t="str">
        <f t="shared" ref="GU6:GY6" si="150">DAY(GU4)&amp;"."&amp;MONTH(GU4)&amp;"."</f>
        <v>16.7.</v>
      </c>
      <c r="GV6" s="36" t="str">
        <f t="shared" si="150"/>
        <v>17.7.</v>
      </c>
      <c r="GW6" s="36" t="str">
        <f t="shared" si="150"/>
        <v>18.7.</v>
      </c>
      <c r="GX6" s="36" t="str">
        <f t="shared" si="150"/>
        <v>19.7.</v>
      </c>
      <c r="GY6" s="36" t="str">
        <f t="shared" si="150"/>
        <v>20.7.</v>
      </c>
      <c r="GZ6" s="36" t="str">
        <f t="shared" ref="GZ6:JK6" si="151">DAY(GZ4)&amp;"."&amp;MONTH(GZ4)&amp;"."</f>
        <v>21.7.</v>
      </c>
      <c r="HA6" s="36" t="str">
        <f t="shared" si="151"/>
        <v>22.7.</v>
      </c>
      <c r="HB6" s="36" t="str">
        <f t="shared" si="151"/>
        <v>23.7.</v>
      </c>
      <c r="HC6" s="36" t="str">
        <f t="shared" si="151"/>
        <v>24.7.</v>
      </c>
      <c r="HD6" s="36" t="str">
        <f t="shared" si="151"/>
        <v>25.7.</v>
      </c>
      <c r="HE6" s="36" t="str">
        <f t="shared" si="151"/>
        <v>26.7.</v>
      </c>
      <c r="HF6" s="36" t="str">
        <f t="shared" si="151"/>
        <v>27.7.</v>
      </c>
      <c r="HG6" s="36" t="str">
        <f t="shared" si="151"/>
        <v>28.7.</v>
      </c>
      <c r="HH6" s="36" t="str">
        <f t="shared" si="151"/>
        <v>29.7.</v>
      </c>
      <c r="HI6" s="36" t="str">
        <f t="shared" si="151"/>
        <v>30.7.</v>
      </c>
      <c r="HJ6" s="36" t="str">
        <f t="shared" si="151"/>
        <v>31.7.</v>
      </c>
      <c r="HK6" s="36" t="str">
        <f t="shared" si="151"/>
        <v>1.8.</v>
      </c>
      <c r="HL6" s="36" t="str">
        <f t="shared" si="151"/>
        <v>2.8.</v>
      </c>
      <c r="HM6" s="36" t="str">
        <f t="shared" si="151"/>
        <v>3.8.</v>
      </c>
      <c r="HN6" s="36" t="str">
        <f t="shared" si="151"/>
        <v>4.8.</v>
      </c>
      <c r="HO6" s="36" t="str">
        <f t="shared" si="151"/>
        <v>5.8.</v>
      </c>
      <c r="HP6" s="36" t="str">
        <f t="shared" si="151"/>
        <v>6.8.</v>
      </c>
      <c r="HQ6" s="36" t="str">
        <f t="shared" si="151"/>
        <v>7.8.</v>
      </c>
      <c r="HR6" s="36" t="str">
        <f t="shared" si="151"/>
        <v>8.8.</v>
      </c>
      <c r="HS6" s="36" t="str">
        <f t="shared" si="151"/>
        <v>9.8.</v>
      </c>
      <c r="HT6" s="36" t="str">
        <f t="shared" si="151"/>
        <v>10.8.</v>
      </c>
      <c r="HU6" s="36" t="str">
        <f t="shared" si="151"/>
        <v>11.8.</v>
      </c>
      <c r="HV6" s="36" t="str">
        <f t="shared" si="151"/>
        <v>12.8.</v>
      </c>
      <c r="HW6" s="36" t="str">
        <f t="shared" si="151"/>
        <v>13.8.</v>
      </c>
      <c r="HX6" s="36" t="str">
        <f t="shared" si="151"/>
        <v>14.8.</v>
      </c>
      <c r="HY6" s="36" t="str">
        <f t="shared" si="151"/>
        <v>15.8.</v>
      </c>
      <c r="HZ6" s="36" t="str">
        <f t="shared" si="151"/>
        <v>16.8.</v>
      </c>
      <c r="IA6" s="36" t="str">
        <f t="shared" si="151"/>
        <v>17.8.</v>
      </c>
      <c r="IB6" s="36" t="str">
        <f t="shared" si="151"/>
        <v>18.8.</v>
      </c>
      <c r="IC6" s="36" t="str">
        <f t="shared" si="151"/>
        <v>19.8.</v>
      </c>
      <c r="ID6" s="36" t="str">
        <f t="shared" si="151"/>
        <v>20.8.</v>
      </c>
      <c r="IE6" s="36" t="str">
        <f t="shared" si="151"/>
        <v>21.8.</v>
      </c>
      <c r="IF6" s="36" t="str">
        <f t="shared" si="151"/>
        <v>22.8.</v>
      </c>
      <c r="IG6" s="36" t="str">
        <f t="shared" si="151"/>
        <v>23.8.</v>
      </c>
      <c r="IH6" s="36" t="str">
        <f t="shared" si="151"/>
        <v>24.8.</v>
      </c>
      <c r="II6" s="36" t="str">
        <f t="shared" si="151"/>
        <v>25.8.</v>
      </c>
      <c r="IJ6" s="36" t="str">
        <f t="shared" si="151"/>
        <v>26.8.</v>
      </c>
      <c r="IK6" s="36" t="str">
        <f t="shared" si="151"/>
        <v>27.8.</v>
      </c>
      <c r="IL6" s="36" t="str">
        <f t="shared" si="151"/>
        <v>28.8.</v>
      </c>
      <c r="IM6" s="36" t="str">
        <f t="shared" si="151"/>
        <v>29.8.</v>
      </c>
      <c r="IN6" s="36" t="str">
        <f t="shared" si="151"/>
        <v>30.8.</v>
      </c>
      <c r="IO6" s="36" t="str">
        <f t="shared" si="151"/>
        <v>31.8.</v>
      </c>
      <c r="IP6" s="36" t="str">
        <f t="shared" si="151"/>
        <v>1.9.</v>
      </c>
      <c r="IQ6" s="36" t="str">
        <f t="shared" si="151"/>
        <v>2.9.</v>
      </c>
      <c r="IR6" s="36" t="str">
        <f t="shared" si="151"/>
        <v>3.9.</v>
      </c>
      <c r="IS6" s="36" t="str">
        <f t="shared" si="151"/>
        <v>4.9.</v>
      </c>
      <c r="IT6" s="36" t="str">
        <f t="shared" si="151"/>
        <v>5.9.</v>
      </c>
      <c r="IU6" s="36" t="str">
        <f t="shared" si="151"/>
        <v>6.9.</v>
      </c>
      <c r="IV6" s="36" t="str">
        <f t="shared" si="151"/>
        <v>7.9.</v>
      </c>
      <c r="IW6" s="36" t="str">
        <f t="shared" si="151"/>
        <v>8.9.</v>
      </c>
      <c r="IX6" s="36" t="str">
        <f t="shared" si="151"/>
        <v>9.9.</v>
      </c>
      <c r="IY6" s="36" t="str">
        <f t="shared" si="151"/>
        <v>10.9.</v>
      </c>
      <c r="IZ6" s="36" t="str">
        <f t="shared" si="151"/>
        <v>11.9.</v>
      </c>
      <c r="JA6" s="36" t="str">
        <f t="shared" si="151"/>
        <v>12.9.</v>
      </c>
      <c r="JB6" s="36" t="str">
        <f t="shared" si="151"/>
        <v>13.9.</v>
      </c>
      <c r="JC6" s="36" t="str">
        <f t="shared" si="151"/>
        <v>14.9.</v>
      </c>
      <c r="JD6" s="36" t="str">
        <f t="shared" si="151"/>
        <v>15.9.</v>
      </c>
      <c r="JE6" s="36" t="str">
        <f t="shared" si="151"/>
        <v>16.9.</v>
      </c>
      <c r="JF6" s="36" t="str">
        <f t="shared" si="151"/>
        <v>17.9.</v>
      </c>
      <c r="JG6" s="36" t="str">
        <f t="shared" si="151"/>
        <v>18.9.</v>
      </c>
      <c r="JH6" s="36" t="str">
        <f t="shared" si="151"/>
        <v>19.9.</v>
      </c>
      <c r="JI6" s="36" t="str">
        <f t="shared" si="151"/>
        <v>20.9.</v>
      </c>
      <c r="JJ6" s="36" t="str">
        <f t="shared" si="151"/>
        <v>21.9.</v>
      </c>
      <c r="JK6" s="36" t="str">
        <f t="shared" si="151"/>
        <v>22.9.</v>
      </c>
      <c r="JL6" s="36" t="str">
        <f t="shared" ref="JL6:LO6" si="152">DAY(JL4)&amp;"."&amp;MONTH(JL4)&amp;"."</f>
        <v>23.9.</v>
      </c>
      <c r="JM6" s="36" t="str">
        <f t="shared" si="152"/>
        <v>24.9.</v>
      </c>
      <c r="JN6" s="36" t="str">
        <f t="shared" si="152"/>
        <v>25.9.</v>
      </c>
      <c r="JO6" s="36" t="str">
        <f t="shared" si="152"/>
        <v>26.9.</v>
      </c>
      <c r="JP6" s="36" t="str">
        <f t="shared" si="152"/>
        <v>27.9.</v>
      </c>
      <c r="JQ6" s="36" t="str">
        <f t="shared" si="152"/>
        <v>28.9.</v>
      </c>
      <c r="JR6" s="36" t="str">
        <f t="shared" si="152"/>
        <v>29.9.</v>
      </c>
      <c r="JS6" s="36" t="str">
        <f t="shared" si="152"/>
        <v>30.9.</v>
      </c>
      <c r="JT6" s="36" t="str">
        <f t="shared" si="152"/>
        <v>1.10.</v>
      </c>
      <c r="JU6" s="36" t="str">
        <f t="shared" si="152"/>
        <v>2.10.</v>
      </c>
      <c r="JV6" s="36" t="str">
        <f t="shared" si="152"/>
        <v>3.10.</v>
      </c>
      <c r="JW6" s="36" t="str">
        <f t="shared" si="152"/>
        <v>4.10.</v>
      </c>
      <c r="JX6" s="36" t="str">
        <f t="shared" si="152"/>
        <v>5.10.</v>
      </c>
      <c r="JY6" s="36" t="str">
        <f t="shared" si="152"/>
        <v>6.10.</v>
      </c>
      <c r="JZ6" s="36" t="str">
        <f t="shared" si="152"/>
        <v>7.10.</v>
      </c>
      <c r="KA6" s="36" t="str">
        <f t="shared" si="152"/>
        <v>8.10.</v>
      </c>
      <c r="KB6" s="36" t="str">
        <f t="shared" si="152"/>
        <v>9.10.</v>
      </c>
      <c r="KC6" s="36" t="str">
        <f t="shared" si="152"/>
        <v>10.10.</v>
      </c>
      <c r="KD6" s="36" t="str">
        <f t="shared" si="152"/>
        <v>11.10.</v>
      </c>
      <c r="KE6" s="36" t="str">
        <f t="shared" si="152"/>
        <v>12.10.</v>
      </c>
      <c r="KF6" s="36" t="str">
        <f t="shared" si="152"/>
        <v>13.10.</v>
      </c>
      <c r="KG6" s="36" t="str">
        <f t="shared" si="152"/>
        <v>14.10.</v>
      </c>
      <c r="KH6" s="36" t="str">
        <f t="shared" si="152"/>
        <v>15.10.</v>
      </c>
      <c r="KI6" s="36" t="str">
        <f t="shared" si="152"/>
        <v>16.10.</v>
      </c>
      <c r="KJ6" s="36" t="str">
        <f t="shared" si="152"/>
        <v>17.10.</v>
      </c>
      <c r="KK6" s="36" t="str">
        <f t="shared" si="152"/>
        <v>18.10.</v>
      </c>
      <c r="KL6" s="36" t="str">
        <f t="shared" si="152"/>
        <v>19.10.</v>
      </c>
      <c r="KM6" s="36" t="str">
        <f t="shared" si="152"/>
        <v>20.10.</v>
      </c>
      <c r="KN6" s="36" t="str">
        <f t="shared" si="152"/>
        <v>21.10.</v>
      </c>
      <c r="KO6" s="36" t="str">
        <f t="shared" si="152"/>
        <v>22.10.</v>
      </c>
      <c r="KP6" s="36" t="str">
        <f t="shared" si="152"/>
        <v>23.10.</v>
      </c>
      <c r="KQ6" s="36" t="str">
        <f t="shared" si="152"/>
        <v>24.10.</v>
      </c>
      <c r="KR6" s="36" t="str">
        <f t="shared" si="152"/>
        <v>25.10.</v>
      </c>
      <c r="KS6" s="36" t="str">
        <f t="shared" si="152"/>
        <v>26.10.</v>
      </c>
      <c r="KT6" s="36" t="str">
        <f t="shared" si="152"/>
        <v>27.10.</v>
      </c>
      <c r="KU6" s="36" t="str">
        <f t="shared" si="152"/>
        <v>28.10.</v>
      </c>
      <c r="KV6" s="36" t="str">
        <f t="shared" si="152"/>
        <v>29.10.</v>
      </c>
      <c r="KW6" s="36" t="str">
        <f t="shared" si="152"/>
        <v>30.10.</v>
      </c>
      <c r="KX6" s="36" t="str">
        <f t="shared" si="152"/>
        <v>31.10.</v>
      </c>
      <c r="KY6" s="36" t="str">
        <f t="shared" si="152"/>
        <v>1.11.</v>
      </c>
      <c r="KZ6" s="36" t="str">
        <f t="shared" si="152"/>
        <v>2.11.</v>
      </c>
      <c r="LA6" s="36" t="str">
        <f t="shared" si="152"/>
        <v>3.11.</v>
      </c>
      <c r="LB6" s="36" t="str">
        <f t="shared" si="152"/>
        <v>4.11.</v>
      </c>
      <c r="LC6" s="36" t="str">
        <f t="shared" si="152"/>
        <v>5.11.</v>
      </c>
      <c r="LD6" s="36" t="str">
        <f t="shared" si="152"/>
        <v>6.11.</v>
      </c>
      <c r="LE6" s="36" t="str">
        <f t="shared" si="152"/>
        <v>7.11.</v>
      </c>
      <c r="LF6" s="36" t="str">
        <f t="shared" si="152"/>
        <v>8.11.</v>
      </c>
      <c r="LG6" s="36" t="str">
        <f t="shared" si="152"/>
        <v>9.11.</v>
      </c>
      <c r="LH6" s="36" t="str">
        <f t="shared" si="152"/>
        <v>10.11.</v>
      </c>
      <c r="LI6" s="36" t="str">
        <f t="shared" si="152"/>
        <v>11.11.</v>
      </c>
      <c r="LJ6" s="36" t="str">
        <f t="shared" si="152"/>
        <v>12.11.</v>
      </c>
      <c r="LK6" s="36" t="str">
        <f t="shared" si="152"/>
        <v>13.11.</v>
      </c>
      <c r="LL6" s="36" t="str">
        <f t="shared" si="152"/>
        <v>14.11.</v>
      </c>
      <c r="LM6" s="36" t="str">
        <f t="shared" si="152"/>
        <v>15.11.</v>
      </c>
      <c r="LN6" s="36" t="str">
        <f t="shared" si="152"/>
        <v>16.11.</v>
      </c>
      <c r="LO6" s="36" t="str">
        <f t="shared" si="152"/>
        <v>17.11.</v>
      </c>
      <c r="LP6" s="36" t="str">
        <f t="shared" ref="LP6" si="153">DAY(LP4)&amp;"."&amp;MONTH(LP4)&amp;"."</f>
        <v>18.11.</v>
      </c>
      <c r="LQ6" s="36" t="str">
        <f t="shared" ref="LQ6:NG6" si="154">DAY(LQ4)&amp;"."&amp;MONTH(LQ4)&amp;"."</f>
        <v>19.11.</v>
      </c>
      <c r="LR6" s="36" t="str">
        <f t="shared" si="154"/>
        <v>20.11.</v>
      </c>
      <c r="LS6" s="36" t="str">
        <f t="shared" si="154"/>
        <v>21.11.</v>
      </c>
      <c r="LT6" s="36" t="str">
        <f t="shared" si="154"/>
        <v>22.11.</v>
      </c>
      <c r="LU6" s="36" t="str">
        <f t="shared" si="154"/>
        <v>23.11.</v>
      </c>
      <c r="LV6" s="36" t="str">
        <f t="shared" si="154"/>
        <v>24.11.</v>
      </c>
      <c r="LW6" s="36" t="str">
        <f t="shared" si="154"/>
        <v>25.11.</v>
      </c>
      <c r="LX6" s="36" t="str">
        <f t="shared" si="154"/>
        <v>26.11.</v>
      </c>
      <c r="LY6" s="36" t="str">
        <f t="shared" si="154"/>
        <v>27.11.</v>
      </c>
      <c r="LZ6" s="36" t="str">
        <f t="shared" si="154"/>
        <v>28.11.</v>
      </c>
      <c r="MA6" s="36" t="str">
        <f t="shared" si="154"/>
        <v>29.11.</v>
      </c>
      <c r="MB6" s="36" t="str">
        <f t="shared" si="154"/>
        <v>30.11.</v>
      </c>
      <c r="MC6" s="36" t="str">
        <f t="shared" si="154"/>
        <v>1.12.</v>
      </c>
      <c r="MD6" s="36" t="str">
        <f t="shared" si="154"/>
        <v>2.12.</v>
      </c>
      <c r="ME6" s="36" t="str">
        <f t="shared" si="154"/>
        <v>3.12.</v>
      </c>
      <c r="MF6" s="36" t="str">
        <f t="shared" si="154"/>
        <v>4.12.</v>
      </c>
      <c r="MG6" s="36" t="str">
        <f t="shared" si="154"/>
        <v>5.12.</v>
      </c>
      <c r="MH6" s="36" t="str">
        <f t="shared" si="154"/>
        <v>6.12.</v>
      </c>
      <c r="MI6" s="36" t="str">
        <f t="shared" si="154"/>
        <v>7.12.</v>
      </c>
      <c r="MJ6" s="36" t="str">
        <f t="shared" si="154"/>
        <v>8.12.</v>
      </c>
      <c r="MK6" s="36" t="str">
        <f t="shared" si="154"/>
        <v>9.12.</v>
      </c>
      <c r="ML6" s="36" t="str">
        <f t="shared" si="154"/>
        <v>10.12.</v>
      </c>
      <c r="MM6" s="36" t="str">
        <f t="shared" si="154"/>
        <v>11.12.</v>
      </c>
      <c r="MN6" s="36" t="str">
        <f t="shared" si="154"/>
        <v>12.12.</v>
      </c>
      <c r="MO6" s="36" t="str">
        <f t="shared" si="154"/>
        <v>13.12.</v>
      </c>
      <c r="MP6" s="36" t="str">
        <f t="shared" si="154"/>
        <v>14.12.</v>
      </c>
      <c r="MQ6" s="36" t="str">
        <f t="shared" si="154"/>
        <v>15.12.</v>
      </c>
      <c r="MR6" s="36" t="str">
        <f t="shared" si="154"/>
        <v>16.12.</v>
      </c>
      <c r="MS6" s="36" t="str">
        <f t="shared" si="154"/>
        <v>17.12.</v>
      </c>
      <c r="MT6" s="36" t="str">
        <f t="shared" si="154"/>
        <v>18.12.</v>
      </c>
      <c r="MU6" s="36" t="str">
        <f t="shared" si="154"/>
        <v>19.12.</v>
      </c>
      <c r="MV6" s="36" t="str">
        <f t="shared" si="154"/>
        <v>20.12.</v>
      </c>
      <c r="MW6" s="36" t="str">
        <f t="shared" si="154"/>
        <v>21.12.</v>
      </c>
      <c r="MX6" s="36" t="str">
        <f t="shared" si="154"/>
        <v>22.12.</v>
      </c>
      <c r="MY6" s="36" t="str">
        <f t="shared" si="154"/>
        <v>23.12.</v>
      </c>
      <c r="MZ6" s="36" t="str">
        <f t="shared" si="154"/>
        <v>24.12.</v>
      </c>
      <c r="NA6" s="36" t="str">
        <f t="shared" si="154"/>
        <v>25.12.</v>
      </c>
      <c r="NB6" s="36" t="str">
        <f t="shared" si="154"/>
        <v>26.12.</v>
      </c>
      <c r="NC6" s="36" t="str">
        <f t="shared" si="154"/>
        <v>27.12.</v>
      </c>
      <c r="ND6" s="36" t="str">
        <f t="shared" si="154"/>
        <v>28.12.</v>
      </c>
      <c r="NE6" s="36" t="str">
        <f t="shared" si="154"/>
        <v>29.12.</v>
      </c>
      <c r="NF6" s="36" t="str">
        <f t="shared" si="154"/>
        <v>30.12.</v>
      </c>
      <c r="NG6" s="36" t="str">
        <f t="shared" si="154"/>
        <v>31.12.</v>
      </c>
      <c r="NH6" s="36" t="str">
        <f>IF(NH4="","",DAY(NH4)&amp;"."&amp;MONTH(NH4)&amp;".")</f>
        <v/>
      </c>
    </row>
    <row r="7" spans="1:375" x14ac:dyDescent="0.2">
      <c r="A7" s="4" t="s">
        <v>417</v>
      </c>
      <c r="B7" t="s">
        <v>35</v>
      </c>
      <c r="C7" t="s">
        <v>36</v>
      </c>
      <c r="D7" t="s">
        <v>37</v>
      </c>
      <c r="E7" s="3" t="s">
        <v>0</v>
      </c>
      <c r="F7" s="36" t="s">
        <v>448</v>
      </c>
      <c r="G7" s="11" t="s">
        <v>51</v>
      </c>
      <c r="H7" s="12" t="s">
        <v>52</v>
      </c>
      <c r="I7" s="12" t="s">
        <v>53</v>
      </c>
      <c r="J7" s="12" t="s">
        <v>54</v>
      </c>
      <c r="K7" s="12" t="s">
        <v>55</v>
      </c>
      <c r="L7" s="12" t="s">
        <v>56</v>
      </c>
      <c r="M7" s="12" t="s">
        <v>57</v>
      </c>
      <c r="N7" s="12" t="s">
        <v>58</v>
      </c>
      <c r="O7" s="12" t="s">
        <v>59</v>
      </c>
      <c r="P7" s="12" t="s">
        <v>60</v>
      </c>
      <c r="Q7" s="12" t="s">
        <v>61</v>
      </c>
      <c r="R7" s="12" t="s">
        <v>62</v>
      </c>
      <c r="S7" s="12" t="s">
        <v>63</v>
      </c>
      <c r="T7" s="12" t="s">
        <v>64</v>
      </c>
      <c r="U7" s="12" t="s">
        <v>65</v>
      </c>
      <c r="V7" s="12" t="s">
        <v>66</v>
      </c>
      <c r="W7" s="12" t="s">
        <v>67</v>
      </c>
      <c r="X7" s="12" t="s">
        <v>68</v>
      </c>
      <c r="Y7" s="12" t="s">
        <v>69</v>
      </c>
      <c r="Z7" s="12" t="s">
        <v>70</v>
      </c>
      <c r="AA7" s="12" t="s">
        <v>71</v>
      </c>
      <c r="AB7" s="12" t="s">
        <v>72</v>
      </c>
      <c r="AC7" s="12" t="s">
        <v>73</v>
      </c>
      <c r="AD7" s="12" t="s">
        <v>74</v>
      </c>
      <c r="AE7" s="12" t="s">
        <v>75</v>
      </c>
      <c r="AF7" s="12" t="s">
        <v>76</v>
      </c>
      <c r="AG7" s="12" t="s">
        <v>77</v>
      </c>
      <c r="AH7" s="12" t="s">
        <v>78</v>
      </c>
      <c r="AI7" s="12" t="s">
        <v>79</v>
      </c>
      <c r="AJ7" s="12" t="s">
        <v>80</v>
      </c>
      <c r="AK7" s="12" t="s">
        <v>81</v>
      </c>
      <c r="AL7" s="12" t="s">
        <v>82</v>
      </c>
      <c r="AM7" s="12" t="s">
        <v>83</v>
      </c>
      <c r="AN7" s="12" t="s">
        <v>84</v>
      </c>
      <c r="AO7" s="12" t="s">
        <v>85</v>
      </c>
      <c r="AP7" s="12" t="s">
        <v>86</v>
      </c>
      <c r="AQ7" s="12" t="s">
        <v>87</v>
      </c>
      <c r="AR7" s="12" t="s">
        <v>88</v>
      </c>
      <c r="AS7" s="12" t="s">
        <v>89</v>
      </c>
      <c r="AT7" s="12" t="s">
        <v>90</v>
      </c>
      <c r="AU7" s="12" t="s">
        <v>91</v>
      </c>
      <c r="AV7" s="12" t="s">
        <v>92</v>
      </c>
      <c r="AW7" s="12" t="s">
        <v>93</v>
      </c>
      <c r="AX7" s="12" t="s">
        <v>94</v>
      </c>
      <c r="AY7" s="12" t="s">
        <v>95</v>
      </c>
      <c r="AZ7" s="12" t="s">
        <v>96</v>
      </c>
      <c r="BA7" s="12" t="s">
        <v>97</v>
      </c>
      <c r="BB7" s="12" t="s">
        <v>98</v>
      </c>
      <c r="BC7" s="12" t="s">
        <v>99</v>
      </c>
      <c r="BD7" s="12" t="s">
        <v>100</v>
      </c>
      <c r="BE7" s="12" t="s">
        <v>101</v>
      </c>
      <c r="BF7" s="12" t="s">
        <v>102</v>
      </c>
      <c r="BG7" s="12" t="s">
        <v>103</v>
      </c>
      <c r="BH7" s="12" t="s">
        <v>104</v>
      </c>
      <c r="BI7" s="12" t="s">
        <v>105</v>
      </c>
      <c r="BJ7" s="12" t="s">
        <v>106</v>
      </c>
      <c r="BK7" s="12" t="s">
        <v>107</v>
      </c>
      <c r="BL7" s="12" t="s">
        <v>108</v>
      </c>
      <c r="BM7" s="12" t="s">
        <v>109</v>
      </c>
      <c r="BN7" s="12" t="s">
        <v>110</v>
      </c>
      <c r="BO7" s="12" t="s">
        <v>111</v>
      </c>
      <c r="BP7" s="12" t="s">
        <v>112</v>
      </c>
      <c r="BQ7" s="12" t="s">
        <v>113</v>
      </c>
      <c r="BR7" s="12" t="s">
        <v>114</v>
      </c>
      <c r="BS7" s="12" t="s">
        <v>115</v>
      </c>
      <c r="BT7" s="12" t="s">
        <v>116</v>
      </c>
      <c r="BU7" s="12" t="s">
        <v>117</v>
      </c>
      <c r="BV7" s="12" t="s">
        <v>118</v>
      </c>
      <c r="BW7" s="12" t="s">
        <v>119</v>
      </c>
      <c r="BX7" s="12" t="s">
        <v>120</v>
      </c>
      <c r="BY7" s="12" t="s">
        <v>121</v>
      </c>
      <c r="BZ7" s="12" t="s">
        <v>122</v>
      </c>
      <c r="CA7" s="12" t="s">
        <v>123</v>
      </c>
      <c r="CB7" s="12" t="s">
        <v>124</v>
      </c>
      <c r="CC7" s="12" t="s">
        <v>125</v>
      </c>
      <c r="CD7" s="12" t="s">
        <v>126</v>
      </c>
      <c r="CE7" s="12" t="s">
        <v>127</v>
      </c>
      <c r="CF7" s="12" t="s">
        <v>128</v>
      </c>
      <c r="CG7" s="12" t="s">
        <v>129</v>
      </c>
      <c r="CH7" s="12" t="s">
        <v>130</v>
      </c>
      <c r="CI7" s="12" t="s">
        <v>131</v>
      </c>
      <c r="CJ7" s="12" t="s">
        <v>132</v>
      </c>
      <c r="CK7" s="12" t="s">
        <v>133</v>
      </c>
      <c r="CL7" s="12" t="s">
        <v>134</v>
      </c>
      <c r="CM7" s="12" t="s">
        <v>135</v>
      </c>
      <c r="CN7" s="12" t="s">
        <v>136</v>
      </c>
      <c r="CO7" s="12" t="s">
        <v>137</v>
      </c>
      <c r="CP7" s="12" t="s">
        <v>138</v>
      </c>
      <c r="CQ7" s="12" t="s">
        <v>139</v>
      </c>
      <c r="CR7" s="12" t="s">
        <v>140</v>
      </c>
      <c r="CS7" s="12" t="s">
        <v>141</v>
      </c>
      <c r="CT7" s="12" t="s">
        <v>142</v>
      </c>
      <c r="CU7" s="12" t="s">
        <v>143</v>
      </c>
      <c r="CV7" s="12" t="s">
        <v>144</v>
      </c>
      <c r="CW7" s="12" t="s">
        <v>145</v>
      </c>
      <c r="CX7" s="12" t="s">
        <v>146</v>
      </c>
      <c r="CY7" s="12" t="s">
        <v>147</v>
      </c>
      <c r="CZ7" s="12" t="s">
        <v>148</v>
      </c>
      <c r="DA7" s="12" t="s">
        <v>149</v>
      </c>
      <c r="DB7" s="12" t="s">
        <v>150</v>
      </c>
      <c r="DC7" s="12" t="s">
        <v>151</v>
      </c>
      <c r="DD7" s="12" t="s">
        <v>152</v>
      </c>
      <c r="DE7" s="12" t="s">
        <v>153</v>
      </c>
      <c r="DF7" s="12" t="s">
        <v>154</v>
      </c>
      <c r="DG7" s="12" t="s">
        <v>155</v>
      </c>
      <c r="DH7" s="12" t="s">
        <v>156</v>
      </c>
      <c r="DI7" s="12" t="s">
        <v>157</v>
      </c>
      <c r="DJ7" s="12" t="s">
        <v>158</v>
      </c>
      <c r="DK7" s="12" t="s">
        <v>159</v>
      </c>
      <c r="DL7" s="12" t="s">
        <v>160</v>
      </c>
      <c r="DM7" s="12" t="s">
        <v>161</v>
      </c>
      <c r="DN7" s="12" t="s">
        <v>162</v>
      </c>
      <c r="DO7" s="12" t="s">
        <v>163</v>
      </c>
      <c r="DP7" s="12" t="s">
        <v>164</v>
      </c>
      <c r="DQ7" s="12" t="s">
        <v>165</v>
      </c>
      <c r="DR7" s="12" t="s">
        <v>166</v>
      </c>
      <c r="DS7" s="12" t="s">
        <v>167</v>
      </c>
      <c r="DT7" s="12" t="s">
        <v>168</v>
      </c>
      <c r="DU7" s="12" t="s">
        <v>169</v>
      </c>
      <c r="DV7" s="12" t="s">
        <v>170</v>
      </c>
      <c r="DW7" s="12" t="s">
        <v>171</v>
      </c>
      <c r="DX7" s="12" t="s">
        <v>172</v>
      </c>
      <c r="DY7" s="12" t="s">
        <v>173</v>
      </c>
      <c r="DZ7" s="12" t="s">
        <v>174</v>
      </c>
      <c r="EA7" s="12" t="s">
        <v>175</v>
      </c>
      <c r="EB7" s="12" t="s">
        <v>176</v>
      </c>
      <c r="EC7" s="12" t="s">
        <v>177</v>
      </c>
      <c r="ED7" s="12" t="s">
        <v>178</v>
      </c>
      <c r="EE7" s="12" t="s">
        <v>179</v>
      </c>
      <c r="EF7" s="12" t="s">
        <v>180</v>
      </c>
      <c r="EG7" s="12" t="s">
        <v>181</v>
      </c>
      <c r="EH7" s="12" t="s">
        <v>182</v>
      </c>
      <c r="EI7" s="12" t="s">
        <v>183</v>
      </c>
      <c r="EJ7" s="12" t="s">
        <v>184</v>
      </c>
      <c r="EK7" s="12" t="s">
        <v>185</v>
      </c>
      <c r="EL7" s="12" t="s">
        <v>186</v>
      </c>
      <c r="EM7" s="12" t="s">
        <v>187</v>
      </c>
      <c r="EN7" s="12" t="s">
        <v>188</v>
      </c>
      <c r="EO7" s="12" t="s">
        <v>189</v>
      </c>
      <c r="EP7" s="12" t="s">
        <v>190</v>
      </c>
      <c r="EQ7" s="12" t="s">
        <v>191</v>
      </c>
      <c r="ER7" s="12" t="s">
        <v>192</v>
      </c>
      <c r="ES7" s="12" t="s">
        <v>193</v>
      </c>
      <c r="ET7" s="12" t="s">
        <v>194</v>
      </c>
      <c r="EU7" s="12" t="s">
        <v>195</v>
      </c>
      <c r="EV7" s="12" t="s">
        <v>196</v>
      </c>
      <c r="EW7" s="12" t="s">
        <v>197</v>
      </c>
      <c r="EX7" s="12" t="s">
        <v>198</v>
      </c>
      <c r="EY7" s="12" t="s">
        <v>199</v>
      </c>
      <c r="EZ7" s="12" t="s">
        <v>200</v>
      </c>
      <c r="FA7" s="12" t="s">
        <v>201</v>
      </c>
      <c r="FB7" s="12" t="s">
        <v>202</v>
      </c>
      <c r="FC7" s="12" t="s">
        <v>203</v>
      </c>
      <c r="FD7" s="12" t="s">
        <v>204</v>
      </c>
      <c r="FE7" s="12" t="s">
        <v>205</v>
      </c>
      <c r="FF7" s="12" t="s">
        <v>206</v>
      </c>
      <c r="FG7" s="12" t="s">
        <v>207</v>
      </c>
      <c r="FH7" s="12" t="s">
        <v>208</v>
      </c>
      <c r="FI7" s="12" t="s">
        <v>209</v>
      </c>
      <c r="FJ7" s="12" t="s">
        <v>210</v>
      </c>
      <c r="FK7" s="12" t="s">
        <v>211</v>
      </c>
      <c r="FL7" s="12" t="s">
        <v>212</v>
      </c>
      <c r="FM7" s="12" t="s">
        <v>213</v>
      </c>
      <c r="FN7" s="12" t="s">
        <v>214</v>
      </c>
      <c r="FO7" s="12" t="s">
        <v>215</v>
      </c>
      <c r="FP7" s="12" t="s">
        <v>216</v>
      </c>
      <c r="FQ7" s="12" t="s">
        <v>217</v>
      </c>
      <c r="FR7" s="12" t="s">
        <v>218</v>
      </c>
      <c r="FS7" s="12" t="s">
        <v>219</v>
      </c>
      <c r="FT7" s="12" t="s">
        <v>220</v>
      </c>
      <c r="FU7" s="12" t="s">
        <v>221</v>
      </c>
      <c r="FV7" s="12" t="s">
        <v>222</v>
      </c>
      <c r="FW7" s="12" t="s">
        <v>223</v>
      </c>
      <c r="FX7" s="12" t="s">
        <v>224</v>
      </c>
      <c r="FY7" s="12" t="s">
        <v>225</v>
      </c>
      <c r="FZ7" s="12" t="s">
        <v>226</v>
      </c>
      <c r="GA7" s="12" t="s">
        <v>227</v>
      </c>
      <c r="GB7" s="12" t="s">
        <v>228</v>
      </c>
      <c r="GC7" s="12" t="s">
        <v>229</v>
      </c>
      <c r="GD7" s="12" t="s">
        <v>230</v>
      </c>
      <c r="GE7" s="12" t="s">
        <v>231</v>
      </c>
      <c r="GF7" s="12" t="s">
        <v>232</v>
      </c>
      <c r="GG7" s="12" t="s">
        <v>233</v>
      </c>
      <c r="GH7" s="12" t="s">
        <v>234</v>
      </c>
      <c r="GI7" s="12" t="s">
        <v>235</v>
      </c>
      <c r="GJ7" s="12" t="s">
        <v>236</v>
      </c>
      <c r="GK7" s="12" t="s">
        <v>237</v>
      </c>
      <c r="GL7" s="12" t="s">
        <v>238</v>
      </c>
      <c r="GM7" s="12" t="s">
        <v>239</v>
      </c>
      <c r="GN7" s="12" t="s">
        <v>240</v>
      </c>
      <c r="GO7" s="12" t="s">
        <v>241</v>
      </c>
      <c r="GP7" s="12" t="s">
        <v>242</v>
      </c>
      <c r="GQ7" s="12" t="s">
        <v>243</v>
      </c>
      <c r="GR7" s="12" t="s">
        <v>244</v>
      </c>
      <c r="GS7" s="12" t="s">
        <v>245</v>
      </c>
      <c r="GT7" s="12" t="s">
        <v>246</v>
      </c>
      <c r="GU7" s="12" t="s">
        <v>247</v>
      </c>
      <c r="GV7" s="12" t="s">
        <v>248</v>
      </c>
      <c r="GW7" s="12" t="s">
        <v>249</v>
      </c>
      <c r="GX7" s="12" t="s">
        <v>250</v>
      </c>
      <c r="GY7" s="12" t="s">
        <v>251</v>
      </c>
      <c r="GZ7" s="12" t="s">
        <v>252</v>
      </c>
      <c r="HA7" s="12" t="s">
        <v>253</v>
      </c>
      <c r="HB7" s="12" t="s">
        <v>254</v>
      </c>
      <c r="HC7" s="12" t="s">
        <v>255</v>
      </c>
      <c r="HD7" s="12" t="s">
        <v>256</v>
      </c>
      <c r="HE7" s="12" t="s">
        <v>257</v>
      </c>
      <c r="HF7" s="12" t="s">
        <v>258</v>
      </c>
      <c r="HG7" s="12" t="s">
        <v>259</v>
      </c>
      <c r="HH7" s="12" t="s">
        <v>260</v>
      </c>
      <c r="HI7" s="12" t="s">
        <v>261</v>
      </c>
      <c r="HJ7" s="12" t="s">
        <v>262</v>
      </c>
      <c r="HK7" s="12" t="s">
        <v>263</v>
      </c>
      <c r="HL7" s="12" t="s">
        <v>264</v>
      </c>
      <c r="HM7" s="12" t="s">
        <v>265</v>
      </c>
      <c r="HN7" s="12" t="s">
        <v>266</v>
      </c>
      <c r="HO7" s="12" t="s">
        <v>267</v>
      </c>
      <c r="HP7" s="12" t="s">
        <v>268</v>
      </c>
      <c r="HQ7" s="12" t="s">
        <v>269</v>
      </c>
      <c r="HR7" s="12" t="s">
        <v>270</v>
      </c>
      <c r="HS7" s="12" t="s">
        <v>271</v>
      </c>
      <c r="HT7" s="12" t="s">
        <v>272</v>
      </c>
      <c r="HU7" s="12" t="s">
        <v>273</v>
      </c>
      <c r="HV7" s="12" t="s">
        <v>274</v>
      </c>
      <c r="HW7" s="12" t="s">
        <v>275</v>
      </c>
      <c r="HX7" s="12" t="s">
        <v>276</v>
      </c>
      <c r="HY7" s="12" t="s">
        <v>277</v>
      </c>
      <c r="HZ7" s="12" t="s">
        <v>278</v>
      </c>
      <c r="IA7" s="12" t="s">
        <v>279</v>
      </c>
      <c r="IB7" s="12" t="s">
        <v>280</v>
      </c>
      <c r="IC7" s="12" t="s">
        <v>281</v>
      </c>
      <c r="ID7" s="12" t="s">
        <v>282</v>
      </c>
      <c r="IE7" s="12" t="s">
        <v>283</v>
      </c>
      <c r="IF7" s="12" t="s">
        <v>284</v>
      </c>
      <c r="IG7" s="12" t="s">
        <v>285</v>
      </c>
      <c r="IH7" s="12" t="s">
        <v>286</v>
      </c>
      <c r="II7" s="12" t="s">
        <v>287</v>
      </c>
      <c r="IJ7" s="12" t="s">
        <v>288</v>
      </c>
      <c r="IK7" s="12" t="s">
        <v>289</v>
      </c>
      <c r="IL7" s="12" t="s">
        <v>290</v>
      </c>
      <c r="IM7" s="12" t="s">
        <v>291</v>
      </c>
      <c r="IN7" s="12" t="s">
        <v>292</v>
      </c>
      <c r="IO7" s="12" t="s">
        <v>293</v>
      </c>
      <c r="IP7" s="12" t="s">
        <v>294</v>
      </c>
      <c r="IQ7" s="12" t="s">
        <v>295</v>
      </c>
      <c r="IR7" s="12" t="s">
        <v>296</v>
      </c>
      <c r="IS7" s="12" t="s">
        <v>297</v>
      </c>
      <c r="IT7" s="12" t="s">
        <v>298</v>
      </c>
      <c r="IU7" s="12" t="s">
        <v>299</v>
      </c>
      <c r="IV7" s="12" t="s">
        <v>300</v>
      </c>
      <c r="IW7" s="12" t="s">
        <v>301</v>
      </c>
      <c r="IX7" s="12" t="s">
        <v>302</v>
      </c>
      <c r="IY7" s="12" t="s">
        <v>303</v>
      </c>
      <c r="IZ7" s="12" t="s">
        <v>304</v>
      </c>
      <c r="JA7" s="12" t="s">
        <v>305</v>
      </c>
      <c r="JB7" s="12" t="s">
        <v>306</v>
      </c>
      <c r="JC7" s="12" t="s">
        <v>307</v>
      </c>
      <c r="JD7" s="12" t="s">
        <v>308</v>
      </c>
      <c r="JE7" s="12" t="s">
        <v>309</v>
      </c>
      <c r="JF7" s="12" t="s">
        <v>310</v>
      </c>
      <c r="JG7" s="12" t="s">
        <v>311</v>
      </c>
      <c r="JH7" s="12" t="s">
        <v>312</v>
      </c>
      <c r="JI7" s="12" t="s">
        <v>313</v>
      </c>
      <c r="JJ7" s="12" t="s">
        <v>314</v>
      </c>
      <c r="JK7" s="12" t="s">
        <v>315</v>
      </c>
      <c r="JL7" s="12" t="s">
        <v>316</v>
      </c>
      <c r="JM7" s="12" t="s">
        <v>317</v>
      </c>
      <c r="JN7" s="12" t="s">
        <v>318</v>
      </c>
      <c r="JO7" s="12" t="s">
        <v>319</v>
      </c>
      <c r="JP7" s="12" t="s">
        <v>320</v>
      </c>
      <c r="JQ7" s="12" t="s">
        <v>321</v>
      </c>
      <c r="JR7" s="12" t="s">
        <v>322</v>
      </c>
      <c r="JS7" s="12" t="s">
        <v>323</v>
      </c>
      <c r="JT7" s="12" t="s">
        <v>324</v>
      </c>
      <c r="JU7" s="12" t="s">
        <v>325</v>
      </c>
      <c r="JV7" s="12" t="s">
        <v>326</v>
      </c>
      <c r="JW7" s="12" t="s">
        <v>327</v>
      </c>
      <c r="JX7" s="12" t="s">
        <v>328</v>
      </c>
      <c r="JY7" s="12" t="s">
        <v>329</v>
      </c>
      <c r="JZ7" s="12" t="s">
        <v>330</v>
      </c>
      <c r="KA7" s="12" t="s">
        <v>331</v>
      </c>
      <c r="KB7" s="12" t="s">
        <v>332</v>
      </c>
      <c r="KC7" s="12" t="s">
        <v>333</v>
      </c>
      <c r="KD7" s="12" t="s">
        <v>334</v>
      </c>
      <c r="KE7" s="12" t="s">
        <v>335</v>
      </c>
      <c r="KF7" s="12" t="s">
        <v>336</v>
      </c>
      <c r="KG7" s="12" t="s">
        <v>337</v>
      </c>
      <c r="KH7" s="12" t="s">
        <v>338</v>
      </c>
      <c r="KI7" s="12" t="s">
        <v>339</v>
      </c>
      <c r="KJ7" s="12" t="s">
        <v>340</v>
      </c>
      <c r="KK7" s="12" t="s">
        <v>341</v>
      </c>
      <c r="KL7" s="12" t="s">
        <v>342</v>
      </c>
      <c r="KM7" s="12" t="s">
        <v>343</v>
      </c>
      <c r="KN7" s="12" t="s">
        <v>344</v>
      </c>
      <c r="KO7" s="12" t="s">
        <v>345</v>
      </c>
      <c r="KP7" s="12" t="s">
        <v>346</v>
      </c>
      <c r="KQ7" s="12" t="s">
        <v>347</v>
      </c>
      <c r="KR7" s="12" t="s">
        <v>348</v>
      </c>
      <c r="KS7" s="12" t="s">
        <v>349</v>
      </c>
      <c r="KT7" s="12" t="s">
        <v>350</v>
      </c>
      <c r="KU7" s="12" t="s">
        <v>351</v>
      </c>
      <c r="KV7" s="12" t="s">
        <v>352</v>
      </c>
      <c r="KW7" s="12" t="s">
        <v>353</v>
      </c>
      <c r="KX7" s="12" t="s">
        <v>354</v>
      </c>
      <c r="KY7" s="12" t="s">
        <v>355</v>
      </c>
      <c r="KZ7" s="12" t="s">
        <v>356</v>
      </c>
      <c r="LA7" s="12" t="s">
        <v>357</v>
      </c>
      <c r="LB7" s="12" t="s">
        <v>358</v>
      </c>
      <c r="LC7" s="12" t="s">
        <v>359</v>
      </c>
      <c r="LD7" s="12" t="s">
        <v>360</v>
      </c>
      <c r="LE7" s="12" t="s">
        <v>361</v>
      </c>
      <c r="LF7" s="12" t="s">
        <v>362</v>
      </c>
      <c r="LG7" s="12" t="s">
        <v>363</v>
      </c>
      <c r="LH7" s="12" t="s">
        <v>364</v>
      </c>
      <c r="LI7" s="12" t="s">
        <v>365</v>
      </c>
      <c r="LJ7" s="12" t="s">
        <v>366</v>
      </c>
      <c r="LK7" s="12" t="s">
        <v>367</v>
      </c>
      <c r="LL7" s="12" t="s">
        <v>368</v>
      </c>
      <c r="LM7" s="12" t="s">
        <v>369</v>
      </c>
      <c r="LN7" s="12" t="s">
        <v>370</v>
      </c>
      <c r="LO7" s="12" t="s">
        <v>371</v>
      </c>
      <c r="LP7" s="12" t="s">
        <v>372</v>
      </c>
      <c r="LQ7" s="12" t="s">
        <v>373</v>
      </c>
      <c r="LR7" s="12" t="s">
        <v>374</v>
      </c>
      <c r="LS7" s="12" t="s">
        <v>375</v>
      </c>
      <c r="LT7" s="12" t="s">
        <v>376</v>
      </c>
      <c r="LU7" s="12" t="s">
        <v>377</v>
      </c>
      <c r="LV7" s="12" t="s">
        <v>378</v>
      </c>
      <c r="LW7" s="12" t="s">
        <v>379</v>
      </c>
      <c r="LX7" s="12" t="s">
        <v>380</v>
      </c>
      <c r="LY7" s="12" t="s">
        <v>381</v>
      </c>
      <c r="LZ7" s="12" t="s">
        <v>382</v>
      </c>
      <c r="MA7" s="12" t="s">
        <v>383</v>
      </c>
      <c r="MB7" s="12" t="s">
        <v>384</v>
      </c>
      <c r="MC7" s="12" t="s">
        <v>385</v>
      </c>
      <c r="MD7" s="12" t="s">
        <v>386</v>
      </c>
      <c r="ME7" s="12" t="s">
        <v>387</v>
      </c>
      <c r="MF7" s="12" t="s">
        <v>388</v>
      </c>
      <c r="MG7" s="12" t="s">
        <v>389</v>
      </c>
      <c r="MH7" s="12" t="s">
        <v>390</v>
      </c>
      <c r="MI7" s="12" t="s">
        <v>391</v>
      </c>
      <c r="MJ7" s="12" t="s">
        <v>392</v>
      </c>
      <c r="MK7" s="12" t="s">
        <v>393</v>
      </c>
      <c r="ML7" s="12" t="s">
        <v>394</v>
      </c>
      <c r="MM7" s="12" t="s">
        <v>395</v>
      </c>
      <c r="MN7" s="12" t="s">
        <v>396</v>
      </c>
      <c r="MO7" s="12" t="s">
        <v>397</v>
      </c>
      <c r="MP7" s="12" t="s">
        <v>398</v>
      </c>
      <c r="MQ7" s="12" t="s">
        <v>399</v>
      </c>
      <c r="MR7" s="12" t="s">
        <v>400</v>
      </c>
      <c r="MS7" s="12" t="s">
        <v>401</v>
      </c>
      <c r="MT7" s="12" t="s">
        <v>402</v>
      </c>
      <c r="MU7" s="12" t="s">
        <v>403</v>
      </c>
      <c r="MV7" s="12" t="s">
        <v>404</v>
      </c>
      <c r="MW7" s="12" t="s">
        <v>405</v>
      </c>
      <c r="MX7" s="12" t="s">
        <v>406</v>
      </c>
      <c r="MY7" s="12" t="s">
        <v>407</v>
      </c>
      <c r="MZ7" s="12" t="s">
        <v>408</v>
      </c>
      <c r="NA7" s="12" t="s">
        <v>409</v>
      </c>
      <c r="NB7" s="12" t="s">
        <v>410</v>
      </c>
      <c r="NC7" s="12" t="s">
        <v>411</v>
      </c>
      <c r="ND7" s="12" t="s">
        <v>412</v>
      </c>
      <c r="NE7" s="12" t="s">
        <v>413</v>
      </c>
      <c r="NF7" s="12" t="s">
        <v>414</v>
      </c>
      <c r="NG7" s="12" t="s">
        <v>415</v>
      </c>
      <c r="NH7" s="12" t="s">
        <v>416</v>
      </c>
      <c r="NI7" s="3" t="s">
        <v>38</v>
      </c>
      <c r="NJ7" s="3" t="s">
        <v>39</v>
      </c>
      <c r="NK7" s="2"/>
    </row>
    <row r="8" spans="1:375" x14ac:dyDescent="0.2">
      <c r="A8" s="47">
        <v>50</v>
      </c>
      <c r="B8" s="40" t="s">
        <v>431</v>
      </c>
      <c r="C8" s="40" t="s">
        <v>477</v>
      </c>
      <c r="D8" s="40" t="s">
        <v>477</v>
      </c>
      <c r="E8" s="45">
        <v>30</v>
      </c>
      <c r="F8" s="46">
        <f>Tabelle1[[#This Row],[U]]-COUNTIF(Tabelle1[[#This Row],[Spalte3]:[Spalte368]],"U")</f>
        <v>30</v>
      </c>
      <c r="G8" s="49"/>
      <c r="H8" s="49" t="s">
        <v>459</v>
      </c>
      <c r="I8" s="49" t="s">
        <v>459</v>
      </c>
      <c r="J8" s="49" t="s">
        <v>459</v>
      </c>
      <c r="K8" s="50" t="s">
        <v>459</v>
      </c>
      <c r="L8" s="50" t="s">
        <v>459</v>
      </c>
      <c r="M8" s="50" t="s">
        <v>459</v>
      </c>
      <c r="N8" s="50" t="s">
        <v>459</v>
      </c>
      <c r="O8" s="50" t="s">
        <v>459</v>
      </c>
      <c r="P8" s="50" t="s">
        <v>459</v>
      </c>
      <c r="Q8" s="50" t="s">
        <v>459</v>
      </c>
      <c r="R8" s="50" t="s">
        <v>459</v>
      </c>
      <c r="S8" s="50" t="s">
        <v>459</v>
      </c>
      <c r="T8" s="50" t="s">
        <v>459</v>
      </c>
      <c r="U8" s="50" t="s">
        <v>459</v>
      </c>
      <c r="V8" s="50" t="s">
        <v>459</v>
      </c>
      <c r="W8" s="50" t="s">
        <v>459</v>
      </c>
      <c r="X8" s="50" t="s">
        <v>459</v>
      </c>
      <c r="Y8" s="50" t="s">
        <v>459</v>
      </c>
      <c r="Z8" s="50" t="s">
        <v>459</v>
      </c>
      <c r="AA8" s="50" t="s">
        <v>459</v>
      </c>
      <c r="AB8" s="50" t="s">
        <v>459</v>
      </c>
      <c r="AC8" s="50" t="s">
        <v>459</v>
      </c>
      <c r="AD8" s="50" t="s">
        <v>459</v>
      </c>
      <c r="AE8" s="50" t="s">
        <v>459</v>
      </c>
      <c r="AF8" s="50" t="s">
        <v>459</v>
      </c>
      <c r="AG8" s="50" t="s">
        <v>459</v>
      </c>
      <c r="AH8" s="50" t="s">
        <v>459</v>
      </c>
      <c r="AI8" s="50" t="s">
        <v>459</v>
      </c>
      <c r="AJ8" s="50" t="s">
        <v>459</v>
      </c>
      <c r="AK8" s="50" t="s">
        <v>459</v>
      </c>
      <c r="AL8" s="50" t="s">
        <v>459</v>
      </c>
      <c r="AM8" s="50" t="s">
        <v>459</v>
      </c>
      <c r="AN8" s="50" t="s">
        <v>459</v>
      </c>
      <c r="AO8" s="50" t="s">
        <v>459</v>
      </c>
      <c r="AP8" s="50" t="s">
        <v>459</v>
      </c>
      <c r="AQ8" s="50" t="s">
        <v>459</v>
      </c>
      <c r="AR8" s="50" t="s">
        <v>459</v>
      </c>
      <c r="AS8" s="50" t="s">
        <v>459</v>
      </c>
      <c r="AT8" s="50" t="s">
        <v>459</v>
      </c>
      <c r="AU8" s="50" t="s">
        <v>459</v>
      </c>
      <c r="AV8" s="50" t="s">
        <v>459</v>
      </c>
      <c r="AW8" s="50" t="s">
        <v>459</v>
      </c>
      <c r="AX8" s="50" t="s">
        <v>459</v>
      </c>
      <c r="AY8" s="50" t="s">
        <v>459</v>
      </c>
      <c r="AZ8" s="50" t="s">
        <v>459</v>
      </c>
      <c r="BA8" s="50" t="s">
        <v>459</v>
      </c>
      <c r="BB8" s="50" t="s">
        <v>459</v>
      </c>
      <c r="BC8" s="50" t="s">
        <v>459</v>
      </c>
      <c r="BD8" s="50" t="s">
        <v>459</v>
      </c>
      <c r="BE8" s="50" t="s">
        <v>459</v>
      </c>
      <c r="BF8" s="50" t="s">
        <v>459</v>
      </c>
      <c r="BG8" s="50" t="s">
        <v>459</v>
      </c>
      <c r="BH8" s="50" t="s">
        <v>459</v>
      </c>
      <c r="BI8" s="50" t="s">
        <v>459</v>
      </c>
      <c r="BJ8" s="50" t="s">
        <v>459</v>
      </c>
      <c r="BK8" s="50" t="s">
        <v>459</v>
      </c>
      <c r="BL8" s="50" t="s">
        <v>459</v>
      </c>
      <c r="BM8" s="50" t="s">
        <v>459</v>
      </c>
      <c r="BN8" s="50" t="s">
        <v>459</v>
      </c>
      <c r="BO8" s="50" t="s">
        <v>459</v>
      </c>
      <c r="BP8" s="50" t="s">
        <v>459</v>
      </c>
      <c r="BQ8" s="50" t="s">
        <v>459</v>
      </c>
      <c r="BR8" s="50" t="s">
        <v>459</v>
      </c>
      <c r="BS8" s="50" t="s">
        <v>459</v>
      </c>
      <c r="BT8" s="50" t="s">
        <v>459</v>
      </c>
      <c r="BU8" s="50" t="s">
        <v>459</v>
      </c>
      <c r="BV8" s="50" t="s">
        <v>459</v>
      </c>
      <c r="BW8" s="50" t="s">
        <v>459</v>
      </c>
      <c r="BX8" s="50" t="s">
        <v>459</v>
      </c>
      <c r="BY8" s="50" t="s">
        <v>459</v>
      </c>
      <c r="BZ8" s="50" t="s">
        <v>459</v>
      </c>
      <c r="CA8" s="50" t="s">
        <v>459</v>
      </c>
      <c r="CB8" s="50" t="s">
        <v>459</v>
      </c>
      <c r="CC8" s="50" t="s">
        <v>459</v>
      </c>
      <c r="CD8" s="50" t="s">
        <v>459</v>
      </c>
      <c r="CE8" s="50" t="s">
        <v>459</v>
      </c>
      <c r="CF8" s="50" t="s">
        <v>459</v>
      </c>
      <c r="CG8" s="50" t="s">
        <v>459</v>
      </c>
      <c r="CH8" s="50" t="s">
        <v>459</v>
      </c>
      <c r="CI8" s="50" t="s">
        <v>459</v>
      </c>
      <c r="CJ8" s="50" t="s">
        <v>459</v>
      </c>
      <c r="CK8" s="50" t="s">
        <v>459</v>
      </c>
      <c r="CL8" s="50" t="s">
        <v>459</v>
      </c>
      <c r="CM8" s="50" t="s">
        <v>459</v>
      </c>
      <c r="CN8" s="50" t="s">
        <v>459</v>
      </c>
      <c r="CO8" s="50" t="s">
        <v>459</v>
      </c>
      <c r="CP8" s="50" t="s">
        <v>459</v>
      </c>
      <c r="CQ8" s="50" t="s">
        <v>459</v>
      </c>
      <c r="CR8" s="50" t="s">
        <v>459</v>
      </c>
      <c r="CS8" s="50" t="s">
        <v>459</v>
      </c>
      <c r="CT8" s="50" t="s">
        <v>459</v>
      </c>
      <c r="CU8" s="50" t="s">
        <v>459</v>
      </c>
      <c r="CV8" s="50" t="s">
        <v>459</v>
      </c>
      <c r="CW8" s="50" t="s">
        <v>459</v>
      </c>
      <c r="CX8" s="50" t="s">
        <v>459</v>
      </c>
      <c r="CY8" s="50" t="s">
        <v>459</v>
      </c>
      <c r="CZ8" s="50" t="s">
        <v>459</v>
      </c>
      <c r="DA8" s="50" t="s">
        <v>459</v>
      </c>
      <c r="DB8" s="50" t="s">
        <v>459</v>
      </c>
      <c r="DC8" s="50" t="s">
        <v>459</v>
      </c>
      <c r="DD8" s="50" t="s">
        <v>459</v>
      </c>
      <c r="DE8" s="50" t="s">
        <v>459</v>
      </c>
      <c r="DF8" s="50" t="s">
        <v>459</v>
      </c>
      <c r="DG8" s="50" t="s">
        <v>459</v>
      </c>
      <c r="DH8" s="50" t="s">
        <v>459</v>
      </c>
      <c r="DI8" s="50" t="s">
        <v>459</v>
      </c>
      <c r="DJ8" s="50" t="s">
        <v>459</v>
      </c>
      <c r="DK8" s="50" t="s">
        <v>459</v>
      </c>
      <c r="DL8" s="50" t="s">
        <v>459</v>
      </c>
      <c r="DM8" s="50" t="s">
        <v>459</v>
      </c>
      <c r="DN8" s="50" t="s">
        <v>459</v>
      </c>
      <c r="DO8" s="50" t="s">
        <v>459</v>
      </c>
      <c r="DP8" s="50" t="s">
        <v>459</v>
      </c>
      <c r="DQ8" s="50" t="s">
        <v>459</v>
      </c>
      <c r="DR8" s="50" t="s">
        <v>459</v>
      </c>
      <c r="DS8" s="50" t="s">
        <v>459</v>
      </c>
      <c r="DT8" s="50" t="s">
        <v>459</v>
      </c>
      <c r="DU8" s="50" t="s">
        <v>459</v>
      </c>
      <c r="DV8" s="50" t="s">
        <v>459</v>
      </c>
      <c r="DW8" s="50" t="s">
        <v>459</v>
      </c>
      <c r="DX8" s="50" t="s">
        <v>459</v>
      </c>
      <c r="DY8" s="50" t="s">
        <v>459</v>
      </c>
      <c r="DZ8" s="50" t="s">
        <v>459</v>
      </c>
      <c r="EA8" s="50" t="s">
        <v>459</v>
      </c>
      <c r="EB8" s="50" t="s">
        <v>459</v>
      </c>
      <c r="EC8" s="50" t="s">
        <v>459</v>
      </c>
      <c r="ED8" s="50" t="s">
        <v>459</v>
      </c>
      <c r="EE8" s="50" t="s">
        <v>459</v>
      </c>
      <c r="EF8" s="50" t="s">
        <v>459</v>
      </c>
      <c r="EG8" s="50" t="s">
        <v>459</v>
      </c>
      <c r="EH8" s="50" t="s">
        <v>459</v>
      </c>
      <c r="EI8" s="50" t="s">
        <v>459</v>
      </c>
      <c r="EJ8" s="50" t="s">
        <v>459</v>
      </c>
      <c r="EK8" s="50" t="s">
        <v>459</v>
      </c>
      <c r="EL8" s="50" t="s">
        <v>459</v>
      </c>
      <c r="EM8" s="50" t="s">
        <v>459</v>
      </c>
      <c r="EN8" s="50" t="s">
        <v>459</v>
      </c>
      <c r="EO8" s="50" t="s">
        <v>459</v>
      </c>
      <c r="EP8" s="50" t="s">
        <v>459</v>
      </c>
      <c r="EQ8" s="50" t="s">
        <v>459</v>
      </c>
      <c r="ER8" s="50" t="s">
        <v>459</v>
      </c>
      <c r="ES8" s="50" t="s">
        <v>459</v>
      </c>
      <c r="ET8" s="50" t="s">
        <v>459</v>
      </c>
      <c r="EU8" s="50" t="s">
        <v>459</v>
      </c>
      <c r="EV8" s="50" t="s">
        <v>459</v>
      </c>
      <c r="EW8" s="50" t="s">
        <v>459</v>
      </c>
      <c r="EX8" s="50" t="s">
        <v>459</v>
      </c>
      <c r="EY8" s="50" t="s">
        <v>459</v>
      </c>
      <c r="EZ8" s="50" t="s">
        <v>459</v>
      </c>
      <c r="FA8" s="50" t="s">
        <v>459</v>
      </c>
      <c r="FB8" s="50" t="s">
        <v>459</v>
      </c>
      <c r="FC8" s="50" t="s">
        <v>459</v>
      </c>
      <c r="FD8" s="50" t="s">
        <v>459</v>
      </c>
      <c r="FE8" s="50" t="s">
        <v>459</v>
      </c>
      <c r="FF8" s="50" t="s">
        <v>459</v>
      </c>
      <c r="FG8" s="50" t="s">
        <v>459</v>
      </c>
      <c r="FH8" s="50" t="s">
        <v>459</v>
      </c>
      <c r="FI8" s="50" t="s">
        <v>459</v>
      </c>
      <c r="FJ8" s="50" t="s">
        <v>459</v>
      </c>
      <c r="FK8" s="50" t="s">
        <v>459</v>
      </c>
      <c r="FL8" s="50" t="s">
        <v>459</v>
      </c>
      <c r="FM8" s="50" t="s">
        <v>459</v>
      </c>
      <c r="FN8" s="50" t="s">
        <v>459</v>
      </c>
      <c r="FO8" s="50" t="s">
        <v>459</v>
      </c>
      <c r="FP8" s="50" t="s">
        <v>459</v>
      </c>
      <c r="FQ8" s="50" t="s">
        <v>459</v>
      </c>
      <c r="FR8" s="50" t="s">
        <v>459</v>
      </c>
      <c r="FS8" s="50" t="s">
        <v>459</v>
      </c>
      <c r="FT8" s="50" t="s">
        <v>459</v>
      </c>
      <c r="FU8" s="50" t="s">
        <v>459</v>
      </c>
      <c r="FV8" s="50" t="s">
        <v>459</v>
      </c>
      <c r="FW8" s="50" t="s">
        <v>459</v>
      </c>
      <c r="FX8" s="50" t="s">
        <v>459</v>
      </c>
      <c r="FY8" s="50" t="s">
        <v>459</v>
      </c>
      <c r="FZ8" s="50" t="s">
        <v>459</v>
      </c>
      <c r="GA8" s="50" t="s">
        <v>459</v>
      </c>
      <c r="GB8" s="50" t="s">
        <v>459</v>
      </c>
      <c r="GC8" s="50" t="s">
        <v>459</v>
      </c>
      <c r="GD8" s="50" t="s">
        <v>459</v>
      </c>
      <c r="GE8" s="50" t="s">
        <v>459</v>
      </c>
      <c r="GF8" s="50" t="s">
        <v>459</v>
      </c>
      <c r="GG8" s="50" t="s">
        <v>459</v>
      </c>
      <c r="GH8" s="50" t="s">
        <v>459</v>
      </c>
      <c r="GI8" s="50" t="s">
        <v>459</v>
      </c>
      <c r="GJ8" s="50" t="s">
        <v>459</v>
      </c>
      <c r="GK8" s="50" t="s">
        <v>459</v>
      </c>
      <c r="GL8" s="50" t="s">
        <v>459</v>
      </c>
      <c r="GM8" s="50" t="s">
        <v>459</v>
      </c>
      <c r="GN8" s="50" t="s">
        <v>459</v>
      </c>
      <c r="GO8" s="50" t="s">
        <v>459</v>
      </c>
      <c r="GP8" s="50" t="s">
        <v>459</v>
      </c>
      <c r="GQ8" s="50" t="s">
        <v>459</v>
      </c>
      <c r="GR8" s="50" t="s">
        <v>459</v>
      </c>
      <c r="GS8" s="50" t="s">
        <v>459</v>
      </c>
      <c r="GT8" s="50" t="s">
        <v>459</v>
      </c>
      <c r="GU8" s="50" t="s">
        <v>459</v>
      </c>
      <c r="GV8" s="50" t="s">
        <v>459</v>
      </c>
      <c r="GW8" s="50" t="s">
        <v>459</v>
      </c>
      <c r="GX8" s="50" t="s">
        <v>459</v>
      </c>
      <c r="GY8" s="50" t="s">
        <v>459</v>
      </c>
      <c r="GZ8" s="50" t="s">
        <v>459</v>
      </c>
      <c r="HA8" s="50" t="s">
        <v>459</v>
      </c>
      <c r="HB8" s="50" t="s">
        <v>459</v>
      </c>
      <c r="HC8" s="50" t="s">
        <v>459</v>
      </c>
      <c r="HD8" s="50" t="s">
        <v>459</v>
      </c>
      <c r="HE8" s="50" t="s">
        <v>459</v>
      </c>
      <c r="HF8" s="50" t="s">
        <v>459</v>
      </c>
      <c r="HG8" s="50" t="s">
        <v>459</v>
      </c>
      <c r="HH8" s="50" t="s">
        <v>459</v>
      </c>
      <c r="HI8" s="50" t="s">
        <v>459</v>
      </c>
      <c r="HJ8" s="50" t="s">
        <v>459</v>
      </c>
      <c r="HK8" s="50" t="s">
        <v>459</v>
      </c>
      <c r="HL8" s="50" t="s">
        <v>459</v>
      </c>
      <c r="HM8" s="50" t="s">
        <v>459</v>
      </c>
      <c r="HN8" s="50" t="s">
        <v>459</v>
      </c>
      <c r="HO8" s="50" t="s">
        <v>459</v>
      </c>
      <c r="HP8" s="50" t="s">
        <v>459</v>
      </c>
      <c r="HQ8" s="50" t="s">
        <v>459</v>
      </c>
      <c r="HR8" s="50" t="s">
        <v>459</v>
      </c>
      <c r="HS8" s="50" t="s">
        <v>459</v>
      </c>
      <c r="HT8" s="50" t="s">
        <v>459</v>
      </c>
      <c r="HU8" s="50" t="s">
        <v>459</v>
      </c>
      <c r="HV8" s="50" t="s">
        <v>459</v>
      </c>
      <c r="HW8" s="50" t="s">
        <v>459</v>
      </c>
      <c r="HX8" s="50" t="s">
        <v>459</v>
      </c>
      <c r="HY8" s="50" t="s">
        <v>459</v>
      </c>
      <c r="HZ8" s="50" t="s">
        <v>459</v>
      </c>
      <c r="IA8" s="50" t="s">
        <v>459</v>
      </c>
      <c r="IB8" s="50" t="s">
        <v>459</v>
      </c>
      <c r="IC8" s="50" t="s">
        <v>459</v>
      </c>
      <c r="ID8" s="50" t="s">
        <v>459</v>
      </c>
      <c r="IE8" s="50" t="s">
        <v>459</v>
      </c>
      <c r="IF8" s="50" t="s">
        <v>459</v>
      </c>
      <c r="IG8" s="50" t="s">
        <v>459</v>
      </c>
      <c r="IH8" s="50" t="s">
        <v>459</v>
      </c>
      <c r="II8" s="50" t="s">
        <v>459</v>
      </c>
      <c r="IJ8" s="50" t="s">
        <v>459</v>
      </c>
      <c r="IK8" s="50" t="s">
        <v>459</v>
      </c>
      <c r="IL8" s="50" t="s">
        <v>459</v>
      </c>
      <c r="IM8" s="50" t="s">
        <v>459</v>
      </c>
      <c r="IN8" s="50" t="s">
        <v>459</v>
      </c>
      <c r="IO8" s="50" t="s">
        <v>459</v>
      </c>
      <c r="IP8" s="50" t="s">
        <v>459</v>
      </c>
      <c r="IQ8" s="50" t="s">
        <v>459</v>
      </c>
      <c r="IR8" s="50" t="s">
        <v>459</v>
      </c>
      <c r="IS8" s="50" t="s">
        <v>459</v>
      </c>
      <c r="IT8" s="50" t="s">
        <v>459</v>
      </c>
      <c r="IU8" s="50" t="s">
        <v>459</v>
      </c>
      <c r="IV8" s="50" t="s">
        <v>459</v>
      </c>
      <c r="IW8" s="50" t="s">
        <v>459</v>
      </c>
      <c r="IX8" s="50" t="s">
        <v>459</v>
      </c>
      <c r="IY8" s="50" t="s">
        <v>459</v>
      </c>
      <c r="IZ8" s="50" t="s">
        <v>459</v>
      </c>
      <c r="JA8" s="50" t="s">
        <v>459</v>
      </c>
      <c r="JB8" s="50" t="s">
        <v>459</v>
      </c>
      <c r="JC8" s="50" t="s">
        <v>459</v>
      </c>
      <c r="JD8" s="50" t="s">
        <v>459</v>
      </c>
      <c r="JE8" s="50" t="s">
        <v>459</v>
      </c>
      <c r="JF8" s="50" t="s">
        <v>459</v>
      </c>
      <c r="JG8" s="50" t="s">
        <v>459</v>
      </c>
      <c r="JH8" s="50" t="s">
        <v>459</v>
      </c>
      <c r="JI8" s="50" t="s">
        <v>459</v>
      </c>
      <c r="JJ8" s="50" t="s">
        <v>459</v>
      </c>
      <c r="JK8" s="50" t="s">
        <v>459</v>
      </c>
      <c r="JL8" s="50" t="s">
        <v>459</v>
      </c>
      <c r="JM8" s="50" t="s">
        <v>459</v>
      </c>
      <c r="JN8" s="50" t="s">
        <v>459</v>
      </c>
      <c r="JO8" s="50" t="s">
        <v>459</v>
      </c>
      <c r="JP8" s="50" t="s">
        <v>459</v>
      </c>
      <c r="JQ8" s="50" t="s">
        <v>459</v>
      </c>
      <c r="JR8" s="50" t="s">
        <v>459</v>
      </c>
      <c r="JS8" s="50" t="s">
        <v>459</v>
      </c>
      <c r="JT8" s="50" t="s">
        <v>459</v>
      </c>
      <c r="JU8" s="50" t="s">
        <v>459</v>
      </c>
      <c r="JV8" s="50" t="s">
        <v>459</v>
      </c>
      <c r="JW8" s="50" t="s">
        <v>459</v>
      </c>
      <c r="JX8" s="50" t="s">
        <v>459</v>
      </c>
      <c r="JY8" s="50" t="s">
        <v>459</v>
      </c>
      <c r="JZ8" s="50" t="s">
        <v>459</v>
      </c>
      <c r="KA8" s="50" t="s">
        <v>459</v>
      </c>
      <c r="KB8" s="50" t="s">
        <v>459</v>
      </c>
      <c r="KC8" s="50" t="s">
        <v>459</v>
      </c>
      <c r="KD8" s="50" t="s">
        <v>459</v>
      </c>
      <c r="KE8" s="50" t="s">
        <v>459</v>
      </c>
      <c r="KF8" s="50" t="s">
        <v>459</v>
      </c>
      <c r="KG8" s="50" t="s">
        <v>459</v>
      </c>
      <c r="KH8" s="50" t="s">
        <v>459</v>
      </c>
      <c r="KI8" s="50" t="s">
        <v>459</v>
      </c>
      <c r="KJ8" s="50" t="s">
        <v>459</v>
      </c>
      <c r="KK8" s="50" t="s">
        <v>459</v>
      </c>
      <c r="KL8" s="50" t="s">
        <v>459</v>
      </c>
      <c r="KM8" s="50" t="s">
        <v>459</v>
      </c>
      <c r="KN8" s="50" t="s">
        <v>459</v>
      </c>
      <c r="KO8" s="50" t="s">
        <v>459</v>
      </c>
      <c r="KP8" s="50" t="s">
        <v>459</v>
      </c>
      <c r="KQ8" s="50" t="s">
        <v>459</v>
      </c>
      <c r="KR8" s="50" t="s">
        <v>459</v>
      </c>
      <c r="KS8" s="50" t="s">
        <v>459</v>
      </c>
      <c r="KT8" s="50" t="s">
        <v>459</v>
      </c>
      <c r="KU8" s="50" t="s">
        <v>459</v>
      </c>
      <c r="KV8" s="50" t="s">
        <v>459</v>
      </c>
      <c r="KW8" s="50" t="s">
        <v>459</v>
      </c>
      <c r="KX8" s="50" t="s">
        <v>459</v>
      </c>
      <c r="KY8" s="50" t="s">
        <v>459</v>
      </c>
      <c r="KZ8" s="50" t="s">
        <v>459</v>
      </c>
      <c r="LA8" s="50" t="s">
        <v>459</v>
      </c>
      <c r="LB8" s="50" t="s">
        <v>459</v>
      </c>
      <c r="LC8" s="50" t="s">
        <v>459</v>
      </c>
      <c r="LD8" s="50" t="s">
        <v>459</v>
      </c>
      <c r="LE8" s="50" t="s">
        <v>459</v>
      </c>
      <c r="LF8" s="50" t="s">
        <v>459</v>
      </c>
      <c r="LG8" s="50" t="s">
        <v>459</v>
      </c>
      <c r="LH8" s="50" t="s">
        <v>459</v>
      </c>
      <c r="LI8" s="50" t="s">
        <v>459</v>
      </c>
      <c r="LJ8" s="50" t="s">
        <v>459</v>
      </c>
      <c r="LK8" s="50" t="s">
        <v>459</v>
      </c>
      <c r="LL8" s="50" t="s">
        <v>459</v>
      </c>
      <c r="LM8" s="50" t="s">
        <v>459</v>
      </c>
      <c r="LN8" s="50" t="s">
        <v>459</v>
      </c>
      <c r="LO8" s="50" t="s">
        <v>459</v>
      </c>
      <c r="LP8" s="50" t="s">
        <v>459</v>
      </c>
      <c r="LQ8" s="50" t="s">
        <v>459</v>
      </c>
      <c r="LR8" s="50" t="s">
        <v>459</v>
      </c>
      <c r="LS8" s="50" t="s">
        <v>459</v>
      </c>
      <c r="LT8" s="50" t="s">
        <v>459</v>
      </c>
      <c r="LU8" s="50" t="s">
        <v>459</v>
      </c>
      <c r="LV8" s="50" t="s">
        <v>459</v>
      </c>
      <c r="LW8" s="50" t="s">
        <v>459</v>
      </c>
      <c r="LX8" s="50" t="s">
        <v>459</v>
      </c>
      <c r="LY8" s="50" t="s">
        <v>459</v>
      </c>
      <c r="LZ8" s="50" t="s">
        <v>459</v>
      </c>
      <c r="MA8" s="50" t="s">
        <v>459</v>
      </c>
      <c r="MB8" s="50" t="s">
        <v>459</v>
      </c>
      <c r="MC8" s="50" t="s">
        <v>459</v>
      </c>
      <c r="MD8" s="50" t="s">
        <v>459</v>
      </c>
      <c r="ME8" s="50" t="s">
        <v>459</v>
      </c>
      <c r="MF8" s="50" t="s">
        <v>459</v>
      </c>
      <c r="MG8" s="50" t="s">
        <v>459</v>
      </c>
      <c r="MH8" s="50" t="s">
        <v>459</v>
      </c>
      <c r="MI8" s="50" t="s">
        <v>459</v>
      </c>
      <c r="MJ8" s="50" t="s">
        <v>459</v>
      </c>
      <c r="MK8" s="50" t="s">
        <v>459</v>
      </c>
      <c r="ML8" s="50" t="s">
        <v>459</v>
      </c>
      <c r="MM8" s="50" t="s">
        <v>459</v>
      </c>
      <c r="MN8" s="50" t="s">
        <v>459</v>
      </c>
      <c r="MO8" s="50" t="s">
        <v>459</v>
      </c>
      <c r="MP8" s="50" t="s">
        <v>459</v>
      </c>
      <c r="MQ8" s="50" t="s">
        <v>459</v>
      </c>
      <c r="MR8" s="50" t="s">
        <v>459</v>
      </c>
      <c r="MS8" s="50" t="s">
        <v>459</v>
      </c>
      <c r="MT8" s="50" t="s">
        <v>459</v>
      </c>
      <c r="MU8" s="50" t="s">
        <v>459</v>
      </c>
      <c r="MV8" s="50" t="s">
        <v>459</v>
      </c>
      <c r="MW8" s="50" t="s">
        <v>459</v>
      </c>
      <c r="MX8" s="50" t="s">
        <v>459</v>
      </c>
      <c r="MY8" s="50" t="s">
        <v>459</v>
      </c>
      <c r="MZ8" s="50" t="s">
        <v>459</v>
      </c>
      <c r="NA8" s="50" t="s">
        <v>459</v>
      </c>
      <c r="NB8" s="50" t="s">
        <v>459</v>
      </c>
      <c r="NC8" s="50" t="s">
        <v>459</v>
      </c>
      <c r="ND8" s="50" t="s">
        <v>459</v>
      </c>
      <c r="NE8" s="50" t="s">
        <v>459</v>
      </c>
      <c r="NF8" s="50" t="s">
        <v>459</v>
      </c>
      <c r="NG8" s="50" t="s">
        <v>459</v>
      </c>
      <c r="NH8" s="50"/>
      <c r="NI8" s="47"/>
      <c r="NJ8" s="47"/>
    </row>
    <row r="9" spans="1:375" x14ac:dyDescent="0.2">
      <c r="A9" s="47">
        <v>51</v>
      </c>
      <c r="B9" s="74" t="s">
        <v>431</v>
      </c>
      <c r="C9" s="75" t="s">
        <v>478</v>
      </c>
      <c r="D9" s="74" t="s">
        <v>479</v>
      </c>
      <c r="E9" s="76"/>
      <c r="F9" s="77">
        <f>Tabelle1[[#This Row],[U]]-COUNTIF(Tabelle1[[#This Row],[Spalte3]:[Spalte368]],"U")</f>
        <v>0</v>
      </c>
      <c r="G9" s="49"/>
      <c r="H9" s="49"/>
      <c r="I9" s="49"/>
      <c r="J9" s="49"/>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c r="CW9" s="50"/>
      <c r="CX9" s="50"/>
      <c r="CY9" s="50"/>
      <c r="CZ9" s="50"/>
      <c r="DA9" s="50"/>
      <c r="DB9" s="50"/>
      <c r="DC9" s="50"/>
      <c r="DD9" s="50"/>
      <c r="DE9" s="50"/>
      <c r="DF9" s="50"/>
      <c r="DG9" s="50"/>
      <c r="DH9" s="50"/>
      <c r="DI9" s="50"/>
      <c r="DJ9" s="50"/>
      <c r="DK9" s="50"/>
      <c r="DL9" s="50"/>
      <c r="DM9" s="50"/>
      <c r="DN9" s="50"/>
      <c r="DO9" s="50"/>
      <c r="DP9" s="50"/>
      <c r="DQ9" s="50"/>
      <c r="DR9" s="50"/>
      <c r="DS9" s="50"/>
      <c r="DT9" s="50"/>
      <c r="DU9" s="50"/>
      <c r="DV9" s="50"/>
      <c r="DW9" s="50"/>
      <c r="DX9" s="50"/>
      <c r="DY9" s="50"/>
      <c r="DZ9" s="50"/>
      <c r="EA9" s="50"/>
      <c r="EB9" s="50"/>
      <c r="EC9" s="50"/>
      <c r="ED9" s="50"/>
      <c r="EE9" s="50"/>
      <c r="EF9" s="50"/>
      <c r="EG9" s="50"/>
      <c r="EH9" s="50"/>
      <c r="EI9" s="50"/>
      <c r="EJ9" s="50"/>
      <c r="EK9" s="50"/>
      <c r="EL9" s="50"/>
      <c r="EM9" s="50"/>
      <c r="EN9" s="50"/>
      <c r="EO9" s="50"/>
      <c r="EP9" s="50"/>
      <c r="EQ9" s="50"/>
      <c r="ER9" s="50"/>
      <c r="ES9" s="50"/>
      <c r="ET9" s="50"/>
      <c r="EU9" s="50"/>
      <c r="EV9" s="50"/>
      <c r="EW9" s="50"/>
      <c r="EX9" s="50"/>
      <c r="EY9" s="50"/>
      <c r="EZ9" s="50"/>
      <c r="FA9" s="50"/>
      <c r="FB9" s="50"/>
      <c r="FC9" s="50"/>
      <c r="FD9" s="50"/>
      <c r="FE9" s="50"/>
      <c r="FF9" s="50"/>
      <c r="FG9" s="50"/>
      <c r="FH9" s="50"/>
      <c r="FI9" s="50"/>
      <c r="FJ9" s="50"/>
      <c r="FK9" s="50"/>
      <c r="FL9" s="50"/>
      <c r="FM9" s="50"/>
      <c r="FN9" s="50"/>
      <c r="FO9" s="50"/>
      <c r="FP9" s="50"/>
      <c r="FQ9" s="50"/>
      <c r="FR9" s="50"/>
      <c r="FS9" s="50"/>
      <c r="FT9" s="50"/>
      <c r="FU9" s="50"/>
      <c r="FV9" s="50"/>
      <c r="FW9" s="50"/>
      <c r="FX9" s="50"/>
      <c r="FY9" s="50"/>
      <c r="FZ9" s="50"/>
      <c r="GA9" s="50"/>
      <c r="GB9" s="50"/>
      <c r="GC9" s="50"/>
      <c r="GD9" s="50"/>
      <c r="GE9" s="50"/>
      <c r="GF9" s="50"/>
      <c r="GG9" s="50"/>
      <c r="GH9" s="50"/>
      <c r="GI9" s="50"/>
      <c r="GJ9" s="50"/>
      <c r="GK9" s="50"/>
      <c r="GL9" s="50"/>
      <c r="GM9" s="50"/>
      <c r="GN9" s="50"/>
      <c r="GO9" s="50"/>
      <c r="GP9" s="50"/>
      <c r="GQ9" s="50"/>
      <c r="GR9" s="50"/>
      <c r="GS9" s="50"/>
      <c r="GT9" s="50"/>
      <c r="GU9" s="50"/>
      <c r="GV9" s="50"/>
      <c r="GW9" s="50"/>
      <c r="GX9" s="50"/>
      <c r="GY9" s="50"/>
      <c r="GZ9" s="50"/>
      <c r="HA9" s="50"/>
      <c r="HB9" s="50"/>
      <c r="HC9" s="50"/>
      <c r="HD9" s="50"/>
      <c r="HE9" s="50"/>
      <c r="HF9" s="50"/>
      <c r="HG9" s="50"/>
      <c r="HH9" s="50"/>
      <c r="HI9" s="50"/>
      <c r="HJ9" s="50"/>
      <c r="HK9" s="50"/>
      <c r="HL9" s="50"/>
      <c r="HM9" s="50"/>
      <c r="HN9" s="50"/>
      <c r="HO9" s="50"/>
      <c r="HP9" s="50"/>
      <c r="HQ9" s="50"/>
      <c r="HR9" s="50"/>
      <c r="HS9" s="50"/>
      <c r="HT9" s="50"/>
      <c r="HU9" s="50"/>
      <c r="HV9" s="50"/>
      <c r="HW9" s="50"/>
      <c r="HX9" s="50"/>
      <c r="HY9" s="50"/>
      <c r="HZ9" s="50"/>
      <c r="IA9" s="50"/>
      <c r="IB9" s="50"/>
      <c r="IC9" s="50"/>
      <c r="ID9" s="50"/>
      <c r="IE9" s="50"/>
      <c r="IF9" s="50"/>
      <c r="IG9" s="50"/>
      <c r="IH9" s="50"/>
      <c r="II9" s="50"/>
      <c r="IJ9" s="50"/>
      <c r="IK9" s="50"/>
      <c r="IL9" s="50"/>
      <c r="IM9" s="50"/>
      <c r="IN9" s="50"/>
      <c r="IO9" s="50"/>
      <c r="IP9" s="50"/>
      <c r="IQ9" s="50"/>
      <c r="IR9" s="50"/>
      <c r="IS9" s="50"/>
      <c r="IT9" s="50"/>
      <c r="IU9" s="50"/>
      <c r="IV9" s="50"/>
      <c r="IW9" s="50"/>
      <c r="IX9" s="50"/>
      <c r="IY9" s="50"/>
      <c r="IZ9" s="50"/>
      <c r="JA9" s="50"/>
      <c r="JB9" s="50"/>
      <c r="JC9" s="50"/>
      <c r="JD9" s="50"/>
      <c r="JE9" s="50"/>
      <c r="JF9" s="50"/>
      <c r="JG9" s="50"/>
      <c r="JH9" s="50"/>
      <c r="JI9" s="50"/>
      <c r="JJ9" s="50"/>
      <c r="JK9" s="50"/>
      <c r="JL9" s="50"/>
      <c r="JM9" s="50"/>
      <c r="JN9" s="50"/>
      <c r="JO9" s="50"/>
      <c r="JP9" s="50"/>
      <c r="JQ9" s="50"/>
      <c r="JR9" s="50"/>
      <c r="JS9" s="50"/>
      <c r="JT9" s="50"/>
      <c r="JU9" s="50"/>
      <c r="JV9" s="50"/>
      <c r="JW9" s="50"/>
      <c r="JX9" s="50"/>
      <c r="JY9" s="50"/>
      <c r="JZ9" s="50"/>
      <c r="KA9" s="50"/>
      <c r="KB9" s="50"/>
      <c r="KC9" s="50"/>
      <c r="KD9" s="50"/>
      <c r="KE9" s="50"/>
      <c r="KF9" s="50"/>
      <c r="KG9" s="50"/>
      <c r="KH9" s="50"/>
      <c r="KI9" s="50"/>
      <c r="KJ9" s="50"/>
      <c r="KK9" s="50"/>
      <c r="KL9" s="50"/>
      <c r="KM9" s="50"/>
      <c r="KN9" s="50"/>
      <c r="KO9" s="50"/>
      <c r="KP9" s="50"/>
      <c r="KQ9" s="50"/>
      <c r="KR9" s="50"/>
      <c r="KS9" s="50"/>
      <c r="KT9" s="50"/>
      <c r="KU9" s="50"/>
      <c r="KV9" s="50"/>
      <c r="KW9" s="50"/>
      <c r="KX9" s="50"/>
      <c r="KY9" s="50"/>
      <c r="KZ9" s="50"/>
      <c r="LA9" s="50"/>
      <c r="LB9" s="50"/>
      <c r="LC9" s="50"/>
      <c r="LD9" s="50"/>
      <c r="LE9" s="50"/>
      <c r="LF9" s="50"/>
      <c r="LG9" s="50"/>
      <c r="LH9" s="50"/>
      <c r="LI9" s="50"/>
      <c r="LJ9" s="50"/>
      <c r="LK9" s="50"/>
      <c r="LL9" s="50"/>
      <c r="LM9" s="50"/>
      <c r="LN9" s="50"/>
      <c r="LO9" s="50"/>
      <c r="LP9" s="50"/>
      <c r="LQ9" s="50"/>
      <c r="LR9" s="50"/>
      <c r="LS9" s="50"/>
      <c r="LT9" s="50"/>
      <c r="LU9" s="50"/>
      <c r="LV9" s="50"/>
      <c r="LW9" s="50"/>
      <c r="LX9" s="50"/>
      <c r="LY9" s="50"/>
      <c r="LZ9" s="50"/>
      <c r="MA9" s="50"/>
      <c r="MB9" s="50"/>
      <c r="MC9" s="50"/>
      <c r="MD9" s="50"/>
      <c r="ME9" s="50"/>
      <c r="MF9" s="50"/>
      <c r="MG9" s="50"/>
      <c r="MH9" s="50"/>
      <c r="MI9" s="50"/>
      <c r="MJ9" s="50"/>
      <c r="MK9" s="50"/>
      <c r="ML9" s="50"/>
      <c r="MM9" s="50"/>
      <c r="MN9" s="50"/>
      <c r="MO9" s="50"/>
      <c r="MP9" s="50"/>
      <c r="MQ9" s="50"/>
      <c r="MR9" s="50"/>
      <c r="MS9" s="50"/>
      <c r="MT9" s="50"/>
      <c r="MU9" s="50"/>
      <c r="MV9" s="50"/>
      <c r="MW9" s="50"/>
      <c r="MX9" s="50"/>
      <c r="MY9" s="50"/>
      <c r="MZ9" s="50"/>
      <c r="NA9" s="50"/>
      <c r="NB9" s="50"/>
      <c r="NC9" s="50"/>
      <c r="ND9" s="50"/>
      <c r="NE9" s="50"/>
      <c r="NF9" s="50"/>
      <c r="NG9" s="50"/>
      <c r="NH9" s="50"/>
      <c r="NI9" s="47">
        <v>100</v>
      </c>
      <c r="NJ9" s="47" t="s">
        <v>421</v>
      </c>
    </row>
    <row r="10" spans="1:375" x14ac:dyDescent="0.2">
      <c r="A10" s="47">
        <v>48</v>
      </c>
      <c r="B10" s="40"/>
      <c r="C10" s="40"/>
      <c r="D10" s="40"/>
      <c r="E10" s="45">
        <v>33</v>
      </c>
      <c r="F10" s="46">
        <f>Tabelle1[[#This Row],[U]]-COUNTIF(Tabelle1[[#This Row],[Spalte3]:[Spalte368]],"U")</f>
        <v>33</v>
      </c>
      <c r="G10" s="49"/>
      <c r="H10" s="49"/>
      <c r="I10" s="49"/>
      <c r="J10" s="49"/>
      <c r="K10" s="50" t="s">
        <v>459</v>
      </c>
      <c r="L10" s="50" t="s">
        <v>459</v>
      </c>
      <c r="M10" s="50" t="s">
        <v>459</v>
      </c>
      <c r="N10" s="50" t="s">
        <v>459</v>
      </c>
      <c r="O10" s="50" t="s">
        <v>459</v>
      </c>
      <c r="P10" s="50" t="s">
        <v>459</v>
      </c>
      <c r="Q10" s="50" t="s">
        <v>459</v>
      </c>
      <c r="R10" s="50" t="s">
        <v>459</v>
      </c>
      <c r="S10" s="50" t="s">
        <v>459</v>
      </c>
      <c r="T10" s="50" t="s">
        <v>459</v>
      </c>
      <c r="U10" s="50" t="s">
        <v>459</v>
      </c>
      <c r="V10" s="50" t="s">
        <v>459</v>
      </c>
      <c r="W10" s="50" t="s">
        <v>459</v>
      </c>
      <c r="X10" s="50" t="s">
        <v>459</v>
      </c>
      <c r="Y10" s="50" t="s">
        <v>459</v>
      </c>
      <c r="Z10" s="50" t="s">
        <v>459</v>
      </c>
      <c r="AA10" s="50" t="s">
        <v>459</v>
      </c>
      <c r="AB10" s="50" t="s">
        <v>459</v>
      </c>
      <c r="AC10" s="50" t="s">
        <v>459</v>
      </c>
      <c r="AD10" s="50" t="s">
        <v>459</v>
      </c>
      <c r="AE10" s="50" t="s">
        <v>459</v>
      </c>
      <c r="AF10" s="50" t="s">
        <v>459</v>
      </c>
      <c r="AG10" s="50" t="s">
        <v>459</v>
      </c>
      <c r="AH10" s="50" t="s">
        <v>459</v>
      </c>
      <c r="AI10" s="50" t="s">
        <v>459</v>
      </c>
      <c r="AJ10" s="50" t="s">
        <v>459</v>
      </c>
      <c r="AK10" s="50" t="s">
        <v>459</v>
      </c>
      <c r="AL10" s="50" t="s">
        <v>459</v>
      </c>
      <c r="AM10" s="50" t="s">
        <v>459</v>
      </c>
      <c r="AN10" s="50" t="s">
        <v>459</v>
      </c>
      <c r="AO10" s="50" t="s">
        <v>459</v>
      </c>
      <c r="AP10" s="50" t="s">
        <v>459</v>
      </c>
      <c r="AQ10" s="50" t="s">
        <v>459</v>
      </c>
      <c r="AR10" s="50" t="s">
        <v>459</v>
      </c>
      <c r="AS10" s="50" t="s">
        <v>459</v>
      </c>
      <c r="AT10" s="50" t="s">
        <v>459</v>
      </c>
      <c r="AU10" s="50" t="s">
        <v>459</v>
      </c>
      <c r="AV10" s="50" t="s">
        <v>459</v>
      </c>
      <c r="AW10" s="50" t="s">
        <v>459</v>
      </c>
      <c r="AX10" s="50" t="s">
        <v>459</v>
      </c>
      <c r="AY10" s="50" t="s">
        <v>459</v>
      </c>
      <c r="AZ10" s="50" t="s">
        <v>459</v>
      </c>
      <c r="BA10" s="50" t="s">
        <v>459</v>
      </c>
      <c r="BB10" s="50" t="s">
        <v>459</v>
      </c>
      <c r="BC10" s="50" t="s">
        <v>459</v>
      </c>
      <c r="BD10" s="50" t="s">
        <v>459</v>
      </c>
      <c r="BE10" s="50" t="s">
        <v>459</v>
      </c>
      <c r="BF10" s="50" t="s">
        <v>459</v>
      </c>
      <c r="BG10" s="50" t="s">
        <v>459</v>
      </c>
      <c r="BH10" s="50" t="s">
        <v>459</v>
      </c>
      <c r="BI10" s="50" t="s">
        <v>459</v>
      </c>
      <c r="BJ10" s="50" t="s">
        <v>459</v>
      </c>
      <c r="BK10" s="50" t="s">
        <v>459</v>
      </c>
      <c r="BL10" s="50" t="s">
        <v>459</v>
      </c>
      <c r="BM10" s="50" t="s">
        <v>459</v>
      </c>
      <c r="BN10" s="50" t="s">
        <v>459</v>
      </c>
      <c r="BO10" s="50" t="s">
        <v>459</v>
      </c>
      <c r="BP10" s="50" t="s">
        <v>459</v>
      </c>
      <c r="BQ10" s="50" t="s">
        <v>459</v>
      </c>
      <c r="BR10" s="50" t="s">
        <v>459</v>
      </c>
      <c r="BS10" s="50" t="s">
        <v>459</v>
      </c>
      <c r="BT10" s="50" t="s">
        <v>459</v>
      </c>
      <c r="BU10" s="50" t="s">
        <v>459</v>
      </c>
      <c r="BV10" s="50" t="s">
        <v>459</v>
      </c>
      <c r="BW10" s="50" t="s">
        <v>459</v>
      </c>
      <c r="BX10" s="50" t="s">
        <v>459</v>
      </c>
      <c r="BY10" s="50" t="s">
        <v>459</v>
      </c>
      <c r="BZ10" s="50" t="s">
        <v>459</v>
      </c>
      <c r="CA10" s="50" t="s">
        <v>459</v>
      </c>
      <c r="CB10" s="50" t="s">
        <v>459</v>
      </c>
      <c r="CC10" s="50" t="s">
        <v>459</v>
      </c>
      <c r="CD10" s="50" t="s">
        <v>459</v>
      </c>
      <c r="CE10" s="50" t="s">
        <v>459</v>
      </c>
      <c r="CF10" s="50" t="s">
        <v>459</v>
      </c>
      <c r="CG10" s="50" t="s">
        <v>459</v>
      </c>
      <c r="CH10" s="50" t="s">
        <v>459</v>
      </c>
      <c r="CI10" s="50" t="s">
        <v>459</v>
      </c>
      <c r="CJ10" s="50" t="s">
        <v>459</v>
      </c>
      <c r="CK10" s="50" t="s">
        <v>459</v>
      </c>
      <c r="CL10" s="50" t="s">
        <v>459</v>
      </c>
      <c r="CM10" s="50" t="s">
        <v>459</v>
      </c>
      <c r="CN10" s="50" t="s">
        <v>459</v>
      </c>
      <c r="CO10" s="50" t="s">
        <v>459</v>
      </c>
      <c r="CP10" s="50" t="s">
        <v>459</v>
      </c>
      <c r="CQ10" s="50" t="s">
        <v>459</v>
      </c>
      <c r="CR10" s="50" t="s">
        <v>459</v>
      </c>
      <c r="CS10" s="50" t="s">
        <v>459</v>
      </c>
      <c r="CT10" s="50" t="s">
        <v>459</v>
      </c>
      <c r="CU10" s="50" t="s">
        <v>459</v>
      </c>
      <c r="CV10" s="50" t="s">
        <v>459</v>
      </c>
      <c r="CW10" s="50" t="s">
        <v>459</v>
      </c>
      <c r="CX10" s="50" t="s">
        <v>459</v>
      </c>
      <c r="CY10" s="50" t="s">
        <v>459</v>
      </c>
      <c r="CZ10" s="50" t="s">
        <v>459</v>
      </c>
      <c r="DA10" s="50" t="s">
        <v>459</v>
      </c>
      <c r="DB10" s="50" t="s">
        <v>459</v>
      </c>
      <c r="DC10" s="50" t="s">
        <v>459</v>
      </c>
      <c r="DD10" s="50" t="s">
        <v>459</v>
      </c>
      <c r="DE10" s="50" t="s">
        <v>459</v>
      </c>
      <c r="DF10" s="50" t="s">
        <v>459</v>
      </c>
      <c r="DG10" s="50" t="s">
        <v>459</v>
      </c>
      <c r="DH10" s="50" t="s">
        <v>459</v>
      </c>
      <c r="DI10" s="50" t="s">
        <v>459</v>
      </c>
      <c r="DJ10" s="50" t="s">
        <v>459</v>
      </c>
      <c r="DK10" s="50" t="s">
        <v>459</v>
      </c>
      <c r="DL10" s="50" t="s">
        <v>459</v>
      </c>
      <c r="DM10" s="50" t="s">
        <v>459</v>
      </c>
      <c r="DN10" s="50" t="s">
        <v>459</v>
      </c>
      <c r="DO10" s="50" t="s">
        <v>459</v>
      </c>
      <c r="DP10" s="50" t="s">
        <v>459</v>
      </c>
      <c r="DQ10" s="50" t="s">
        <v>459</v>
      </c>
      <c r="DR10" s="50" t="s">
        <v>459</v>
      </c>
      <c r="DS10" s="50" t="s">
        <v>459</v>
      </c>
      <c r="DT10" s="50" t="s">
        <v>459</v>
      </c>
      <c r="DU10" s="50" t="s">
        <v>459</v>
      </c>
      <c r="DV10" s="50" t="s">
        <v>459</v>
      </c>
      <c r="DW10" s="50" t="s">
        <v>459</v>
      </c>
      <c r="DX10" s="50" t="s">
        <v>459</v>
      </c>
      <c r="DY10" s="50" t="s">
        <v>459</v>
      </c>
      <c r="DZ10" s="50" t="s">
        <v>459</v>
      </c>
      <c r="EA10" s="50" t="s">
        <v>459</v>
      </c>
      <c r="EB10" s="50" t="s">
        <v>459</v>
      </c>
      <c r="EC10" s="50" t="s">
        <v>459</v>
      </c>
      <c r="ED10" s="50" t="s">
        <v>459</v>
      </c>
      <c r="EE10" s="50" t="s">
        <v>459</v>
      </c>
      <c r="EF10" s="50" t="s">
        <v>459</v>
      </c>
      <c r="EG10" s="50" t="s">
        <v>459</v>
      </c>
      <c r="EH10" s="50" t="s">
        <v>459</v>
      </c>
      <c r="EI10" s="50" t="s">
        <v>459</v>
      </c>
      <c r="EJ10" s="50" t="s">
        <v>459</v>
      </c>
      <c r="EK10" s="50" t="s">
        <v>459</v>
      </c>
      <c r="EL10" s="50" t="s">
        <v>459</v>
      </c>
      <c r="EM10" s="50" t="s">
        <v>459</v>
      </c>
      <c r="EN10" s="50" t="s">
        <v>459</v>
      </c>
      <c r="EO10" s="50" t="s">
        <v>459</v>
      </c>
      <c r="EP10" s="50" t="s">
        <v>459</v>
      </c>
      <c r="EQ10" s="50" t="s">
        <v>459</v>
      </c>
      <c r="ER10" s="50" t="s">
        <v>459</v>
      </c>
      <c r="ES10" s="50" t="s">
        <v>459</v>
      </c>
      <c r="ET10" s="50" t="s">
        <v>459</v>
      </c>
      <c r="EU10" s="50" t="s">
        <v>459</v>
      </c>
      <c r="EV10" s="50" t="s">
        <v>459</v>
      </c>
      <c r="EW10" s="50" t="s">
        <v>459</v>
      </c>
      <c r="EX10" s="50" t="s">
        <v>459</v>
      </c>
      <c r="EY10" s="50" t="s">
        <v>459</v>
      </c>
      <c r="EZ10" s="50" t="s">
        <v>459</v>
      </c>
      <c r="FA10" s="50" t="s">
        <v>459</v>
      </c>
      <c r="FB10" s="50" t="s">
        <v>459</v>
      </c>
      <c r="FC10" s="50" t="s">
        <v>459</v>
      </c>
      <c r="FD10" s="50" t="s">
        <v>459</v>
      </c>
      <c r="FE10" s="50" t="s">
        <v>459</v>
      </c>
      <c r="FF10" s="50" t="s">
        <v>459</v>
      </c>
      <c r="FG10" s="50" t="s">
        <v>459</v>
      </c>
      <c r="FH10" s="50" t="s">
        <v>459</v>
      </c>
      <c r="FI10" s="50" t="s">
        <v>459</v>
      </c>
      <c r="FJ10" s="50" t="s">
        <v>459</v>
      </c>
      <c r="FK10" s="50" t="s">
        <v>459</v>
      </c>
      <c r="FL10" s="50" t="s">
        <v>459</v>
      </c>
      <c r="FM10" s="50" t="s">
        <v>459</v>
      </c>
      <c r="FN10" s="50" t="s">
        <v>459</v>
      </c>
      <c r="FO10" s="50" t="s">
        <v>459</v>
      </c>
      <c r="FP10" s="50" t="s">
        <v>459</v>
      </c>
      <c r="FQ10" s="50" t="s">
        <v>459</v>
      </c>
      <c r="FR10" s="50" t="s">
        <v>459</v>
      </c>
      <c r="FS10" s="50" t="s">
        <v>459</v>
      </c>
      <c r="FT10" s="50" t="s">
        <v>459</v>
      </c>
      <c r="FU10" s="50" t="s">
        <v>459</v>
      </c>
      <c r="FV10" s="50" t="s">
        <v>459</v>
      </c>
      <c r="FW10" s="50" t="s">
        <v>459</v>
      </c>
      <c r="FX10" s="50" t="s">
        <v>459</v>
      </c>
      <c r="FY10" s="50" t="s">
        <v>459</v>
      </c>
      <c r="FZ10" s="50" t="s">
        <v>459</v>
      </c>
      <c r="GA10" s="50" t="s">
        <v>459</v>
      </c>
      <c r="GB10" s="50" t="s">
        <v>459</v>
      </c>
      <c r="GC10" s="50" t="s">
        <v>459</v>
      </c>
      <c r="GD10" s="50" t="s">
        <v>459</v>
      </c>
      <c r="GE10" s="50" t="s">
        <v>459</v>
      </c>
      <c r="GF10" s="50" t="s">
        <v>459</v>
      </c>
      <c r="GG10" s="50" t="s">
        <v>459</v>
      </c>
      <c r="GH10" s="50" t="s">
        <v>459</v>
      </c>
      <c r="GI10" s="50" t="s">
        <v>459</v>
      </c>
      <c r="GJ10" s="50" t="s">
        <v>459</v>
      </c>
      <c r="GK10" s="50" t="s">
        <v>459</v>
      </c>
      <c r="GL10" s="50" t="s">
        <v>459</v>
      </c>
      <c r="GM10" s="50" t="s">
        <v>459</v>
      </c>
      <c r="GN10" s="50" t="s">
        <v>459</v>
      </c>
      <c r="GO10" s="50" t="s">
        <v>459</v>
      </c>
      <c r="GP10" s="50" t="s">
        <v>459</v>
      </c>
      <c r="GQ10" s="50" t="s">
        <v>459</v>
      </c>
      <c r="GR10" s="50" t="s">
        <v>459</v>
      </c>
      <c r="GS10" s="50" t="s">
        <v>459</v>
      </c>
      <c r="GT10" s="50" t="s">
        <v>459</v>
      </c>
      <c r="GU10" s="50" t="s">
        <v>459</v>
      </c>
      <c r="GV10" s="50" t="s">
        <v>459</v>
      </c>
      <c r="GW10" s="50" t="s">
        <v>459</v>
      </c>
      <c r="GX10" s="50" t="s">
        <v>459</v>
      </c>
      <c r="GY10" s="50" t="s">
        <v>459</v>
      </c>
      <c r="GZ10" s="50" t="s">
        <v>459</v>
      </c>
      <c r="HA10" s="50" t="s">
        <v>459</v>
      </c>
      <c r="HB10" s="50" t="s">
        <v>459</v>
      </c>
      <c r="HC10" s="50" t="s">
        <v>459</v>
      </c>
      <c r="HD10" s="50" t="s">
        <v>459</v>
      </c>
      <c r="HE10" s="50" t="s">
        <v>459</v>
      </c>
      <c r="HF10" s="50" t="s">
        <v>459</v>
      </c>
      <c r="HG10" s="50" t="s">
        <v>459</v>
      </c>
      <c r="HH10" s="50" t="s">
        <v>459</v>
      </c>
      <c r="HI10" s="50" t="s">
        <v>459</v>
      </c>
      <c r="HJ10" s="50" t="s">
        <v>459</v>
      </c>
      <c r="HK10" s="50" t="s">
        <v>459</v>
      </c>
      <c r="HL10" s="50" t="s">
        <v>459</v>
      </c>
      <c r="HM10" s="50" t="s">
        <v>459</v>
      </c>
      <c r="HN10" s="50" t="s">
        <v>459</v>
      </c>
      <c r="HO10" s="50" t="s">
        <v>459</v>
      </c>
      <c r="HP10" s="50" t="s">
        <v>459</v>
      </c>
      <c r="HQ10" s="50" t="s">
        <v>459</v>
      </c>
      <c r="HR10" s="50" t="s">
        <v>459</v>
      </c>
      <c r="HS10" s="50" t="s">
        <v>459</v>
      </c>
      <c r="HT10" s="50" t="s">
        <v>459</v>
      </c>
      <c r="HU10" s="50" t="s">
        <v>459</v>
      </c>
      <c r="HV10" s="50" t="s">
        <v>459</v>
      </c>
      <c r="HW10" s="50" t="s">
        <v>459</v>
      </c>
      <c r="HX10" s="50" t="s">
        <v>459</v>
      </c>
      <c r="HY10" s="50" t="s">
        <v>459</v>
      </c>
      <c r="HZ10" s="50" t="s">
        <v>459</v>
      </c>
      <c r="IA10" s="50" t="s">
        <v>459</v>
      </c>
      <c r="IB10" s="50" t="s">
        <v>459</v>
      </c>
      <c r="IC10" s="50" t="s">
        <v>459</v>
      </c>
      <c r="ID10" s="50" t="s">
        <v>459</v>
      </c>
      <c r="IE10" s="50" t="s">
        <v>459</v>
      </c>
      <c r="IF10" s="50" t="s">
        <v>459</v>
      </c>
      <c r="IG10" s="50" t="s">
        <v>459</v>
      </c>
      <c r="IH10" s="50" t="s">
        <v>459</v>
      </c>
      <c r="II10" s="50" t="s">
        <v>459</v>
      </c>
      <c r="IJ10" s="50" t="s">
        <v>459</v>
      </c>
      <c r="IK10" s="50" t="s">
        <v>459</v>
      </c>
      <c r="IL10" s="50" t="s">
        <v>459</v>
      </c>
      <c r="IM10" s="50" t="s">
        <v>459</v>
      </c>
      <c r="IN10" s="50" t="s">
        <v>459</v>
      </c>
      <c r="IO10" s="50" t="s">
        <v>459</v>
      </c>
      <c r="IP10" s="50" t="s">
        <v>459</v>
      </c>
      <c r="IQ10" s="50" t="s">
        <v>459</v>
      </c>
      <c r="IR10" s="50" t="s">
        <v>459</v>
      </c>
      <c r="IS10" s="50" t="s">
        <v>459</v>
      </c>
      <c r="IT10" s="50" t="s">
        <v>459</v>
      </c>
      <c r="IU10" s="50" t="s">
        <v>459</v>
      </c>
      <c r="IV10" s="50" t="s">
        <v>459</v>
      </c>
      <c r="IW10" s="50" t="s">
        <v>459</v>
      </c>
      <c r="IX10" s="50" t="s">
        <v>459</v>
      </c>
      <c r="IY10" s="50" t="s">
        <v>459</v>
      </c>
      <c r="IZ10" s="50" t="s">
        <v>459</v>
      </c>
      <c r="JA10" s="50" t="s">
        <v>459</v>
      </c>
      <c r="JB10" s="50" t="s">
        <v>459</v>
      </c>
      <c r="JC10" s="50" t="s">
        <v>459</v>
      </c>
      <c r="JD10" s="50" t="s">
        <v>459</v>
      </c>
      <c r="JE10" s="50" t="s">
        <v>459</v>
      </c>
      <c r="JF10" s="50" t="s">
        <v>459</v>
      </c>
      <c r="JG10" s="50" t="s">
        <v>459</v>
      </c>
      <c r="JH10" s="50" t="s">
        <v>459</v>
      </c>
      <c r="JI10" s="50" t="s">
        <v>459</v>
      </c>
      <c r="JJ10" s="50" t="s">
        <v>459</v>
      </c>
      <c r="JK10" s="50" t="s">
        <v>459</v>
      </c>
      <c r="JL10" s="50" t="s">
        <v>459</v>
      </c>
      <c r="JM10" s="50" t="s">
        <v>459</v>
      </c>
      <c r="JN10" s="50" t="s">
        <v>459</v>
      </c>
      <c r="JO10" s="50" t="s">
        <v>459</v>
      </c>
      <c r="JP10" s="50" t="s">
        <v>459</v>
      </c>
      <c r="JQ10" s="50" t="s">
        <v>459</v>
      </c>
      <c r="JR10" s="50" t="s">
        <v>459</v>
      </c>
      <c r="JS10" s="50" t="s">
        <v>459</v>
      </c>
      <c r="JT10" s="50" t="s">
        <v>459</v>
      </c>
      <c r="JU10" s="50" t="s">
        <v>459</v>
      </c>
      <c r="JV10" s="50" t="s">
        <v>459</v>
      </c>
      <c r="JW10" s="50" t="s">
        <v>459</v>
      </c>
      <c r="JX10" s="50" t="s">
        <v>459</v>
      </c>
      <c r="JY10" s="50" t="s">
        <v>459</v>
      </c>
      <c r="JZ10" s="50" t="s">
        <v>459</v>
      </c>
      <c r="KA10" s="50" t="s">
        <v>459</v>
      </c>
      <c r="KB10" s="50" t="s">
        <v>459</v>
      </c>
      <c r="KC10" s="50" t="s">
        <v>459</v>
      </c>
      <c r="KD10" s="50" t="s">
        <v>459</v>
      </c>
      <c r="KE10" s="50" t="s">
        <v>459</v>
      </c>
      <c r="KF10" s="50" t="s">
        <v>459</v>
      </c>
      <c r="KG10" s="50" t="s">
        <v>459</v>
      </c>
      <c r="KH10" s="50" t="s">
        <v>459</v>
      </c>
      <c r="KI10" s="50" t="s">
        <v>459</v>
      </c>
      <c r="KJ10" s="50" t="s">
        <v>459</v>
      </c>
      <c r="KK10" s="50" t="s">
        <v>459</v>
      </c>
      <c r="KL10" s="50" t="s">
        <v>459</v>
      </c>
      <c r="KM10" s="50" t="s">
        <v>459</v>
      </c>
      <c r="KN10" s="50" t="s">
        <v>459</v>
      </c>
      <c r="KO10" s="50" t="s">
        <v>459</v>
      </c>
      <c r="KP10" s="50" t="s">
        <v>459</v>
      </c>
      <c r="KQ10" s="50" t="s">
        <v>459</v>
      </c>
      <c r="KR10" s="50" t="s">
        <v>459</v>
      </c>
      <c r="KS10" s="50" t="s">
        <v>459</v>
      </c>
      <c r="KT10" s="50" t="s">
        <v>459</v>
      </c>
      <c r="KU10" s="50" t="s">
        <v>459</v>
      </c>
      <c r="KV10" s="50" t="s">
        <v>459</v>
      </c>
      <c r="KW10" s="50" t="s">
        <v>459</v>
      </c>
      <c r="KX10" s="50" t="s">
        <v>459</v>
      </c>
      <c r="KY10" s="50" t="s">
        <v>459</v>
      </c>
      <c r="KZ10" s="50" t="s">
        <v>459</v>
      </c>
      <c r="LA10" s="50" t="s">
        <v>459</v>
      </c>
      <c r="LB10" s="50" t="s">
        <v>459</v>
      </c>
      <c r="LC10" s="50" t="s">
        <v>459</v>
      </c>
      <c r="LD10" s="50" t="s">
        <v>459</v>
      </c>
      <c r="LE10" s="50" t="s">
        <v>459</v>
      </c>
      <c r="LF10" s="50" t="s">
        <v>459</v>
      </c>
      <c r="LG10" s="50" t="s">
        <v>459</v>
      </c>
      <c r="LH10" s="50" t="s">
        <v>459</v>
      </c>
      <c r="LI10" s="50" t="s">
        <v>459</v>
      </c>
      <c r="LJ10" s="50" t="s">
        <v>459</v>
      </c>
      <c r="LK10" s="50" t="s">
        <v>459</v>
      </c>
      <c r="LL10" s="50" t="s">
        <v>459</v>
      </c>
      <c r="LM10" s="50" t="s">
        <v>459</v>
      </c>
      <c r="LN10" s="50" t="s">
        <v>459</v>
      </c>
      <c r="LO10" s="50" t="s">
        <v>459</v>
      </c>
      <c r="LP10" s="50" t="s">
        <v>459</v>
      </c>
      <c r="LQ10" s="50" t="s">
        <v>459</v>
      </c>
      <c r="LR10" s="50" t="s">
        <v>459</v>
      </c>
      <c r="LS10" s="50" t="s">
        <v>459</v>
      </c>
      <c r="LT10" s="50" t="s">
        <v>459</v>
      </c>
      <c r="LU10" s="50" t="s">
        <v>459</v>
      </c>
      <c r="LV10" s="50" t="s">
        <v>459</v>
      </c>
      <c r="LW10" s="50" t="s">
        <v>459</v>
      </c>
      <c r="LX10" s="50" t="s">
        <v>459</v>
      </c>
      <c r="LY10" s="50" t="s">
        <v>459</v>
      </c>
      <c r="LZ10" s="50" t="s">
        <v>459</v>
      </c>
      <c r="MA10" s="50" t="s">
        <v>459</v>
      </c>
      <c r="MB10" s="50" t="s">
        <v>459</v>
      </c>
      <c r="MC10" s="50" t="s">
        <v>459</v>
      </c>
      <c r="MD10" s="50" t="s">
        <v>459</v>
      </c>
      <c r="ME10" s="50" t="s">
        <v>459</v>
      </c>
      <c r="MF10" s="50" t="s">
        <v>459</v>
      </c>
      <c r="MG10" s="50" t="s">
        <v>459</v>
      </c>
      <c r="MH10" s="50" t="s">
        <v>459</v>
      </c>
      <c r="MI10" s="50" t="s">
        <v>459</v>
      </c>
      <c r="MJ10" s="50" t="s">
        <v>459</v>
      </c>
      <c r="MK10" s="50" t="s">
        <v>459</v>
      </c>
      <c r="ML10" s="50" t="s">
        <v>459</v>
      </c>
      <c r="MM10" s="50" t="s">
        <v>459</v>
      </c>
      <c r="MN10" s="50" t="s">
        <v>459</v>
      </c>
      <c r="MO10" s="50" t="s">
        <v>459</v>
      </c>
      <c r="MP10" s="50" t="s">
        <v>459</v>
      </c>
      <c r="MQ10" s="50" t="s">
        <v>459</v>
      </c>
      <c r="MR10" s="50" t="s">
        <v>459</v>
      </c>
      <c r="MS10" s="50" t="s">
        <v>459</v>
      </c>
      <c r="MT10" s="50" t="s">
        <v>459</v>
      </c>
      <c r="MU10" s="50" t="s">
        <v>459</v>
      </c>
      <c r="MV10" s="50" t="s">
        <v>459</v>
      </c>
      <c r="MW10" s="50" t="s">
        <v>459</v>
      </c>
      <c r="MX10" s="50" t="s">
        <v>459</v>
      </c>
      <c r="MY10" s="50" t="s">
        <v>459</v>
      </c>
      <c r="MZ10" s="50" t="s">
        <v>459</v>
      </c>
      <c r="NA10" s="50" t="s">
        <v>459</v>
      </c>
      <c r="NB10" s="50" t="s">
        <v>459</v>
      </c>
      <c r="NC10" s="50" t="s">
        <v>459</v>
      </c>
      <c r="ND10" s="50" t="s">
        <v>459</v>
      </c>
      <c r="NE10" s="50" t="s">
        <v>459</v>
      </c>
      <c r="NF10" s="50" t="s">
        <v>459</v>
      </c>
      <c r="NG10" s="50" t="s">
        <v>459</v>
      </c>
      <c r="NH10" s="50"/>
      <c r="NI10" s="47">
        <v>100</v>
      </c>
      <c r="NJ10" s="47" t="s">
        <v>423</v>
      </c>
    </row>
    <row r="11" spans="1:375" x14ac:dyDescent="0.2">
      <c r="A11" s="3" t="s">
        <v>466</v>
      </c>
      <c r="B11" s="56" t="s">
        <v>467</v>
      </c>
      <c r="C11" s="58">
        <f>COUNTA(Tabelle1[Name])-1</f>
        <v>1</v>
      </c>
      <c r="D11" s="56"/>
      <c r="E11" s="57"/>
      <c r="F11" s="57"/>
      <c r="G11" s="55">
        <f ca="1">IF(IF(AND(G4&lt;=TODAY(),G5&lt;&gt;"Sa",G5&lt;&gt;"So"),COUNTIF(Tabelle1[Spalte3],"A"),IF(AND(G5&lt;&gt;"Sa",G5&lt;&gt;"So"),COUNTIF(Tabelle1[Spalte3],"")-1,""))&lt;0,0,IF(AND(G4&lt;=TODAY(),G5&lt;&gt;"Sa",G5&lt;&gt;"So"),COUNTIF(Tabelle1[Spalte3],"A"),IF(AND(G5&lt;&gt;"Sa",G5&lt;&gt;"So"),COUNTIF(Tabelle1[Spalte3],"")-1,"")))</f>
        <v>2</v>
      </c>
      <c r="H11" s="55" t="str">
        <f ca="1">IF(IF(AND(H4&lt;=TODAY(),H5&lt;&gt;"Sa",H5&lt;&gt;"So"),COUNTIF(Tabelle1[Spalte4],"A"),IF(AND(H5&lt;&gt;"Sa",H5&lt;&gt;"So"),COUNTIF(Tabelle1[Spalte4],"")-1,""))&lt;0,0,IF(AND(H4&lt;=TODAY(),H5&lt;&gt;"Sa",H5&lt;&gt;"So"),COUNTIF(Tabelle1[Spalte4],"A"),IF(AND(H5&lt;&gt;"Sa",H5&lt;&gt;"So"),COUNTIF(Tabelle1[Spalte4],"")-1,"")))</f>
        <v/>
      </c>
      <c r="I11" s="55" t="str">
        <f ca="1">IF(IF(AND(I4&lt;=TODAY(),I5&lt;&gt;"Sa",I5&lt;&gt;"So"),COUNTIF(Tabelle1[Spalte5],"A"),IF(AND(I5&lt;&gt;"Sa",I5&lt;&gt;"So"),COUNTIF(Tabelle1[Spalte5],"")-1,""))&lt;0,0,IF(AND(I4&lt;=TODAY(),I5&lt;&gt;"Sa",I5&lt;&gt;"So"),COUNTIF(Tabelle1[Spalte5],"A"),IF(AND(I5&lt;&gt;"Sa",I5&lt;&gt;"So"),COUNTIF(Tabelle1[Spalte5],"")-1,"")))</f>
        <v/>
      </c>
      <c r="J11" s="55">
        <f ca="1">IF(IF(AND(J4&lt;=TODAY(),J5&lt;&gt;"Sa",J5&lt;&gt;"So"),COUNTIF(Tabelle1[Spalte6],"A"),IF(AND(J5&lt;&gt;"Sa",J5&lt;&gt;"So"),COUNTIF(Tabelle1[Spalte6],"")-1,""))&lt;0,0,IF(AND(J4&lt;=TODAY(),J5&lt;&gt;"Sa",J5&lt;&gt;"So"),COUNTIF(Tabelle1[Spalte6],"A"),IF(AND(J5&lt;&gt;"Sa",J5&lt;&gt;"So"),COUNTIF(Tabelle1[Spalte6],"")-1,"")))</f>
        <v>2</v>
      </c>
      <c r="K11" s="55">
        <f ca="1">IF(IF(AND(K4&lt;=TODAY(),K5&lt;&gt;"Sa",K5&lt;&gt;"So"),COUNTIF(Tabelle1[Spalte7],"A"),IF(AND(K5&lt;&gt;"Sa",K5&lt;&gt;"So"),COUNTIF(Tabelle1[Spalte7],"")-1,""))&lt;0,0,IF(AND(K4&lt;=TODAY(),K5&lt;&gt;"Sa",K5&lt;&gt;"So"),COUNTIF(Tabelle1[Spalte7],"A"),IF(AND(K5&lt;&gt;"Sa",K5&lt;&gt;"So"),COUNTIF(Tabelle1[Spalte7],"")-1,"")))</f>
        <v>2</v>
      </c>
      <c r="L11" s="55">
        <f ca="1">IF(IF(AND(L4&lt;=TODAY(),L5&lt;&gt;"Sa",L5&lt;&gt;"So"),COUNTIF(Tabelle1[Spalte8],"A"),IF(AND(L5&lt;&gt;"Sa",L5&lt;&gt;"So"),COUNTIF(Tabelle1[Spalte8],"")-1,""))&lt;0,0,IF(AND(L4&lt;=TODAY(),L5&lt;&gt;"Sa",L5&lt;&gt;"So"),COUNTIF(Tabelle1[Spalte8],"A"),IF(AND(L5&lt;&gt;"Sa",L5&lt;&gt;"So"),COUNTIF(Tabelle1[Spalte8],"")-1,"")))</f>
        <v>2</v>
      </c>
      <c r="M11" s="55">
        <f ca="1">IF(IF(AND(M4&lt;=TODAY(),M5&lt;&gt;"Sa",M5&lt;&gt;"So"),COUNTIF(Tabelle1[Spalte9],"A"),IF(AND(M5&lt;&gt;"Sa",M5&lt;&gt;"So"),COUNTIF(Tabelle1[Spalte9],"")-1,""))&lt;0,0,IF(AND(M4&lt;=TODAY(),M5&lt;&gt;"Sa",M5&lt;&gt;"So"),COUNTIF(Tabelle1[Spalte9],"A"),IF(AND(M5&lt;&gt;"Sa",M5&lt;&gt;"So"),COUNTIF(Tabelle1[Spalte9],"")-1,"")))</f>
        <v>2</v>
      </c>
      <c r="N11" s="55">
        <f ca="1">IF(IF(AND(N4&lt;=TODAY(),N5&lt;&gt;"Sa",N5&lt;&gt;"So"),COUNTIF(Tabelle1[Spalte10],"A"),IF(AND(N5&lt;&gt;"Sa",N5&lt;&gt;"So"),COUNTIF(Tabelle1[Spalte10],"")-1,""))&lt;0,0,IF(AND(N4&lt;=TODAY(),N5&lt;&gt;"Sa",N5&lt;&gt;"So"),COUNTIF(Tabelle1[Spalte10],"A"),IF(AND(N5&lt;&gt;"Sa",N5&lt;&gt;"So"),COUNTIF(Tabelle1[Spalte10],"")-1,"")))</f>
        <v>2</v>
      </c>
      <c r="O11" s="55" t="str">
        <f ca="1">IF(IF(AND(O4&lt;=TODAY(),O5&lt;&gt;"Sa",O5&lt;&gt;"So"),COUNTIF(Tabelle1[Spalte11],"A"),IF(AND(O5&lt;&gt;"Sa",O5&lt;&gt;"So"),COUNTIF(Tabelle1[Spalte11],"")-1,""))&lt;0,0,IF(AND(O4&lt;=TODAY(),O5&lt;&gt;"Sa",O5&lt;&gt;"So"),COUNTIF(Tabelle1[Spalte11],"A"),IF(AND(O5&lt;&gt;"Sa",O5&lt;&gt;"So"),COUNTIF(Tabelle1[Spalte11],"")-1,"")))</f>
        <v/>
      </c>
      <c r="P11" s="55" t="str">
        <f ca="1">IF(IF(AND(P4&lt;=TODAY(),P5&lt;&gt;"Sa",P5&lt;&gt;"So"),COUNTIF(Tabelle1[Spalte12],"A"),IF(AND(P5&lt;&gt;"Sa",P5&lt;&gt;"So"),COUNTIF(Tabelle1[Spalte12],"")-1,""))&lt;0,0,IF(AND(P4&lt;=TODAY(),P5&lt;&gt;"Sa",P5&lt;&gt;"So"),COUNTIF(Tabelle1[Spalte12],"A"),IF(AND(P5&lt;&gt;"Sa",P5&lt;&gt;"So"),COUNTIF(Tabelle1[Spalte12],"")-1,"")))</f>
        <v/>
      </c>
      <c r="Q11" s="55">
        <f ca="1">IF(IF(AND(Q4&lt;=TODAY(),Q5&lt;&gt;"Sa",Q5&lt;&gt;"So"),COUNTIF(Tabelle1[Spalte13],"A"),IF(AND(Q5&lt;&gt;"Sa",Q5&lt;&gt;"So"),COUNTIF(Tabelle1[Spalte13],"")-1,""))&lt;0,0,IF(AND(Q4&lt;=TODAY(),Q5&lt;&gt;"Sa",Q5&lt;&gt;"So"),COUNTIF(Tabelle1[Spalte13],"A"),IF(AND(Q5&lt;&gt;"Sa",Q5&lt;&gt;"So"),COUNTIF(Tabelle1[Spalte13],"")-1,"")))</f>
        <v>2</v>
      </c>
      <c r="R11" s="55">
        <f ca="1">IF(IF(AND(R4&lt;=TODAY(),R5&lt;&gt;"Sa",R5&lt;&gt;"So"),COUNTIF(Tabelle1[Spalte14],"A"),IF(AND(R5&lt;&gt;"Sa",R5&lt;&gt;"So"),COUNTIF(Tabelle1[Spalte14],"")-1,""))&lt;0,0,IF(AND(R4&lt;=TODAY(),R5&lt;&gt;"Sa",R5&lt;&gt;"So"),COUNTIF(Tabelle1[Spalte14],"A"),IF(AND(R5&lt;&gt;"Sa",R5&lt;&gt;"So"),COUNTIF(Tabelle1[Spalte14],"")-1,"")))</f>
        <v>2</v>
      </c>
      <c r="S11" s="55">
        <f ca="1">IF(IF(AND(S4&lt;=TODAY(),S5&lt;&gt;"Sa",S5&lt;&gt;"So"),COUNTIF(Tabelle1[Spalte15],"A"),IF(AND(S5&lt;&gt;"Sa",S5&lt;&gt;"So"),COUNTIF(Tabelle1[Spalte15],"")-1,""))&lt;0,0,IF(AND(S4&lt;=TODAY(),S5&lt;&gt;"Sa",S5&lt;&gt;"So"),COUNTIF(Tabelle1[Spalte15],"A"),IF(AND(S5&lt;&gt;"Sa",S5&lt;&gt;"So"),COUNTIF(Tabelle1[Spalte15],"")-1,"")))</f>
        <v>2</v>
      </c>
      <c r="T11" s="55">
        <f ca="1">IF(IF(AND(T4&lt;=TODAY(),T5&lt;&gt;"Sa",T5&lt;&gt;"So"),COUNTIF(Tabelle1[Spalte16],"A"),IF(AND(T5&lt;&gt;"Sa",T5&lt;&gt;"So"),COUNTIF(Tabelle1[Spalte16],"")-1,""))&lt;0,0,IF(AND(T4&lt;=TODAY(),T5&lt;&gt;"Sa",T5&lt;&gt;"So"),COUNTIF(Tabelle1[Spalte16],"A"),IF(AND(T5&lt;&gt;"Sa",T5&lt;&gt;"So"),COUNTIF(Tabelle1[Spalte16],"")-1,"")))</f>
        <v>2</v>
      </c>
      <c r="U11" s="55">
        <f ca="1">IF(IF(AND(U4&lt;=TODAY(),U5&lt;&gt;"Sa",U5&lt;&gt;"So"),COUNTIF(Tabelle1[Spalte17],"A"),IF(AND(U5&lt;&gt;"Sa",U5&lt;&gt;"So"),COUNTIF(Tabelle1[Spalte17],"")-1,""))&lt;0,0,IF(AND(U4&lt;=TODAY(),U5&lt;&gt;"Sa",U5&lt;&gt;"So"),COUNTIF(Tabelle1[Spalte17],"A"),IF(AND(U5&lt;&gt;"Sa",U5&lt;&gt;"So"),COUNTIF(Tabelle1[Spalte17],"")-1,"")))</f>
        <v>2</v>
      </c>
      <c r="V11" s="55" t="str">
        <f ca="1">IF(IF(AND(V4&lt;=TODAY(),V5&lt;&gt;"Sa",V5&lt;&gt;"So"),COUNTIF(Tabelle1[Spalte18],"A"),IF(AND(V5&lt;&gt;"Sa",V5&lt;&gt;"So"),COUNTIF(Tabelle1[Spalte18],"")-1,""))&lt;0,0,IF(AND(V4&lt;=TODAY(),V5&lt;&gt;"Sa",V5&lt;&gt;"So"),COUNTIF(Tabelle1[Spalte18],"A"),IF(AND(V5&lt;&gt;"Sa",V5&lt;&gt;"So"),COUNTIF(Tabelle1[Spalte18],"")-1,"")))</f>
        <v/>
      </c>
      <c r="W11" s="55" t="str">
        <f ca="1">IF(IF(AND(W4&lt;=TODAY(),W5&lt;&gt;"Sa",W5&lt;&gt;"So"),COUNTIF(Tabelle1[Spalte19],"A"),IF(AND(W5&lt;&gt;"Sa",W5&lt;&gt;"So"),COUNTIF(Tabelle1[Spalte19],"")-1,""))&lt;0,0,IF(AND(W4&lt;=TODAY(),W5&lt;&gt;"Sa",W5&lt;&gt;"So"),COUNTIF(Tabelle1[Spalte19],"A"),IF(AND(W5&lt;&gt;"Sa",W5&lt;&gt;"So"),COUNTIF(Tabelle1[Spalte19],"")-1,"")))</f>
        <v/>
      </c>
      <c r="X11" s="55">
        <f ca="1">IF(IF(AND(X4&lt;=TODAY(),X5&lt;&gt;"Sa",X5&lt;&gt;"So"),COUNTIF(Tabelle1[Spalte20],"A"),IF(AND(X5&lt;&gt;"Sa",X5&lt;&gt;"So"),COUNTIF(Tabelle1[Spalte20],"")-1,""))&lt;0,0,IF(AND(X4&lt;=TODAY(),X5&lt;&gt;"Sa",X5&lt;&gt;"So"),COUNTIF(Tabelle1[Spalte20],"A"),IF(AND(X5&lt;&gt;"Sa",X5&lt;&gt;"So"),COUNTIF(Tabelle1[Spalte20],"")-1,"")))</f>
        <v>2</v>
      </c>
      <c r="Y11" s="55">
        <f ca="1">IF(IF(AND(Y4&lt;=TODAY(),Y5&lt;&gt;"Sa",Y5&lt;&gt;"So"),COUNTIF(Tabelle1[Spalte21],"A"),IF(AND(Y5&lt;&gt;"Sa",Y5&lt;&gt;"So"),COUNTIF(Tabelle1[Spalte21],"")-1,""))&lt;0,0,IF(AND(Y4&lt;=TODAY(),Y5&lt;&gt;"Sa",Y5&lt;&gt;"So"),COUNTIF(Tabelle1[Spalte21],"A"),IF(AND(Y5&lt;&gt;"Sa",Y5&lt;&gt;"So"),COUNTIF(Tabelle1[Spalte21],"")-1,"")))</f>
        <v>2</v>
      </c>
      <c r="Z11" s="55">
        <f ca="1">IF(IF(AND(Z4&lt;=TODAY(),Z5&lt;&gt;"Sa",Z5&lt;&gt;"So"),COUNTIF(Tabelle1[Spalte22],"A"),IF(AND(Z5&lt;&gt;"Sa",Z5&lt;&gt;"So"),COUNTIF(Tabelle1[Spalte22],"")-1,""))&lt;0,0,IF(AND(Z4&lt;=TODAY(),Z5&lt;&gt;"Sa",Z5&lt;&gt;"So"),COUNTIF(Tabelle1[Spalte22],"A"),IF(AND(Z5&lt;&gt;"Sa",Z5&lt;&gt;"So"),COUNTIF(Tabelle1[Spalte22],"")-1,"")))</f>
        <v>2</v>
      </c>
      <c r="AA11" s="55">
        <f ca="1">IF(IF(AND(AA4&lt;=TODAY(),AA5&lt;&gt;"Sa",AA5&lt;&gt;"So"),COUNTIF(Tabelle1[Spalte23],"A"),IF(AND(AA5&lt;&gt;"Sa",AA5&lt;&gt;"So"),COUNTIF(Tabelle1[Spalte23],"")-1,""))&lt;0,0,IF(AND(AA4&lt;=TODAY(),AA5&lt;&gt;"Sa",AA5&lt;&gt;"So"),COUNTIF(Tabelle1[Spalte23],"A"),IF(AND(AA5&lt;&gt;"Sa",AA5&lt;&gt;"So"),COUNTIF(Tabelle1[Spalte23],"")-1,"")))</f>
        <v>2</v>
      </c>
      <c r="AB11" s="55">
        <f ca="1">IF(IF(AND(AB4&lt;=TODAY(),AB5&lt;&gt;"Sa",AB5&lt;&gt;"So"),COUNTIF(Tabelle1[Spalte24],"A"),IF(AND(AB5&lt;&gt;"Sa",AB5&lt;&gt;"So"),COUNTIF(Tabelle1[Spalte24],"")-1,""))&lt;0,0,IF(AND(AB4&lt;=TODAY(),AB5&lt;&gt;"Sa",AB5&lt;&gt;"So"),COUNTIF(Tabelle1[Spalte24],"A"),IF(AND(AB5&lt;&gt;"Sa",AB5&lt;&gt;"So"),COUNTIF(Tabelle1[Spalte24],"")-1,"")))</f>
        <v>2</v>
      </c>
      <c r="AC11" s="55" t="str">
        <f ca="1">IF(IF(AND(AC4&lt;=TODAY(),AC5&lt;&gt;"Sa",AC5&lt;&gt;"So"),COUNTIF(Tabelle1[Spalte25],"A"),IF(AND(AC5&lt;&gt;"Sa",AC5&lt;&gt;"So"),COUNTIF(Tabelle1[Spalte25],"")-1,""))&lt;0,0,IF(AND(AC4&lt;=TODAY(),AC5&lt;&gt;"Sa",AC5&lt;&gt;"So"),COUNTIF(Tabelle1[Spalte25],"A"),IF(AND(AC5&lt;&gt;"Sa",AC5&lt;&gt;"So"),COUNTIF(Tabelle1[Spalte25],"")-1,"")))</f>
        <v/>
      </c>
      <c r="AD11" s="55" t="str">
        <f ca="1">IF(IF(AND(AD4&lt;=TODAY(),AD5&lt;&gt;"Sa",AD5&lt;&gt;"So"),COUNTIF(Tabelle1[Spalte26],"A"),IF(AND(AD5&lt;&gt;"Sa",AD5&lt;&gt;"So"),COUNTIF(Tabelle1[Spalte26],"")-1,""))&lt;0,0,IF(AND(AD4&lt;=TODAY(),AD5&lt;&gt;"Sa",AD5&lt;&gt;"So"),COUNTIF(Tabelle1[Spalte26],"A"),IF(AND(AD5&lt;&gt;"Sa",AD5&lt;&gt;"So"),COUNTIF(Tabelle1[Spalte26],"")-1,"")))</f>
        <v/>
      </c>
      <c r="AE11" s="55">
        <f ca="1">IF(IF(AND(AE4&lt;=TODAY(),AE5&lt;&gt;"Sa",AE5&lt;&gt;"So"),COUNTIF(Tabelle1[Spalte27],"A"),IF(AND(AE5&lt;&gt;"Sa",AE5&lt;&gt;"So"),COUNTIF(Tabelle1[Spalte27],"")-1,""))&lt;0,0,IF(AND(AE4&lt;=TODAY(),AE5&lt;&gt;"Sa",AE5&lt;&gt;"So"),COUNTIF(Tabelle1[Spalte27],"A"),IF(AND(AE5&lt;&gt;"Sa",AE5&lt;&gt;"So"),COUNTIF(Tabelle1[Spalte27],"")-1,"")))</f>
        <v>2</v>
      </c>
      <c r="AF11" s="55">
        <f ca="1">IF(IF(AND(AF4&lt;=TODAY(),AF5&lt;&gt;"Sa",AF5&lt;&gt;"So"),COUNTIF(Tabelle1[Spalte28],"A"),IF(AND(AF5&lt;&gt;"Sa",AF5&lt;&gt;"So"),COUNTIF(Tabelle1[Spalte28],"")-1,""))&lt;0,0,IF(AND(AF4&lt;=TODAY(),AF5&lt;&gt;"Sa",AF5&lt;&gt;"So"),COUNTIF(Tabelle1[Spalte28],"A"),IF(AND(AF5&lt;&gt;"Sa",AF5&lt;&gt;"So"),COUNTIF(Tabelle1[Spalte28],"")-1,"")))</f>
        <v>2</v>
      </c>
      <c r="AG11" s="55">
        <f ca="1">IF(IF(AND(AG4&lt;=TODAY(),AG5&lt;&gt;"Sa",AG5&lt;&gt;"So"),COUNTIF(Tabelle1[Spalte29],"A"),IF(AND(AG5&lt;&gt;"Sa",AG5&lt;&gt;"So"),COUNTIF(Tabelle1[Spalte29],"")-1,""))&lt;0,0,IF(AND(AG4&lt;=TODAY(),AG5&lt;&gt;"Sa",AG5&lt;&gt;"So"),COUNTIF(Tabelle1[Spalte29],"A"),IF(AND(AG5&lt;&gt;"Sa",AG5&lt;&gt;"So"),COUNTIF(Tabelle1[Spalte29],"")-1,"")))</f>
        <v>2</v>
      </c>
      <c r="AH11" s="55">
        <f ca="1">IF(IF(AND(AH4&lt;=TODAY(),AH5&lt;&gt;"Sa",AH5&lt;&gt;"So"),COUNTIF(Tabelle1[Spalte30],"A"),IF(AND(AH5&lt;&gt;"Sa",AH5&lt;&gt;"So"),COUNTIF(Tabelle1[Spalte30],"")-1,""))&lt;0,0,IF(AND(AH4&lt;=TODAY(),AH5&lt;&gt;"Sa",AH5&lt;&gt;"So"),COUNTIF(Tabelle1[Spalte30],"A"),IF(AND(AH5&lt;&gt;"Sa",AH5&lt;&gt;"So"),COUNTIF(Tabelle1[Spalte30],"")-1,"")))</f>
        <v>2</v>
      </c>
      <c r="AI11" s="55">
        <f ca="1">IF(IF(AND(AI4&lt;=TODAY(),AI5&lt;&gt;"Sa",AI5&lt;&gt;"So"),COUNTIF(Tabelle1[Spalte31],"A"),IF(AND(AI5&lt;&gt;"Sa",AI5&lt;&gt;"So"),COUNTIF(Tabelle1[Spalte31],"")-1,""))&lt;0,0,IF(AND(AI4&lt;=TODAY(),AI5&lt;&gt;"Sa",AI5&lt;&gt;"So"),COUNTIF(Tabelle1[Spalte31],"A"),IF(AND(AI5&lt;&gt;"Sa",AI5&lt;&gt;"So"),COUNTIF(Tabelle1[Spalte31],"")-1,"")))</f>
        <v>2</v>
      </c>
      <c r="AJ11" s="55" t="str">
        <f ca="1">IF(IF(AND(AJ4&lt;=TODAY(),AJ5&lt;&gt;"Sa",AJ5&lt;&gt;"So"),COUNTIF(Tabelle1[Spalte32],"A"),IF(AND(AJ5&lt;&gt;"Sa",AJ5&lt;&gt;"So"),COUNTIF(Tabelle1[Spalte32],"")-1,""))&lt;0,0,IF(AND(AJ4&lt;=TODAY(),AJ5&lt;&gt;"Sa",AJ5&lt;&gt;"So"),COUNTIF(Tabelle1[Spalte32],"A"),IF(AND(AJ5&lt;&gt;"Sa",AJ5&lt;&gt;"So"),COUNTIF(Tabelle1[Spalte32],"")-1,"")))</f>
        <v/>
      </c>
      <c r="AK11" s="55" t="str">
        <f ca="1">IF(IF(AND(AK4&lt;=TODAY(),AK5&lt;&gt;"Sa",AK5&lt;&gt;"So"),COUNTIF(Tabelle1[Spalte33],"A"),IF(AND(AK5&lt;&gt;"Sa",AK5&lt;&gt;"So"),COUNTIF(Tabelle1[Spalte33],"")-1,""))&lt;0,0,IF(AND(AK4&lt;=TODAY(),AK5&lt;&gt;"Sa",AK5&lt;&gt;"So"),COUNTIF(Tabelle1[Spalte33],"A"),IF(AND(AK5&lt;&gt;"Sa",AK5&lt;&gt;"So"),COUNTIF(Tabelle1[Spalte33],"")-1,"")))</f>
        <v/>
      </c>
      <c r="AL11" s="55">
        <f ca="1">IF(IF(AND(AL4&lt;=TODAY(),AL5&lt;&gt;"Sa",AL5&lt;&gt;"So"),COUNTIF(Tabelle1[Spalte34],"A"),IF(AND(AL5&lt;&gt;"Sa",AL5&lt;&gt;"So"),COUNTIF(Tabelle1[Spalte34],"")-1,""))&lt;0,0,IF(AND(AL4&lt;=TODAY(),AL5&lt;&gt;"Sa",AL5&lt;&gt;"So"),COUNTIF(Tabelle1[Spalte34],"A"),IF(AND(AL5&lt;&gt;"Sa",AL5&lt;&gt;"So"),COUNTIF(Tabelle1[Spalte34],"")-1,"")))</f>
        <v>2</v>
      </c>
      <c r="AM11" s="55">
        <f ca="1">IF(IF(AND(AM4&lt;=TODAY(),AM5&lt;&gt;"Sa",AM5&lt;&gt;"So"),COUNTIF(Tabelle1[Spalte35],"A"),IF(AND(AM5&lt;&gt;"Sa",AM5&lt;&gt;"So"),COUNTIF(Tabelle1[Spalte35],"")-1,""))&lt;0,0,IF(AND(AM4&lt;=TODAY(),AM5&lt;&gt;"Sa",AM5&lt;&gt;"So"),COUNTIF(Tabelle1[Spalte35],"A"),IF(AND(AM5&lt;&gt;"Sa",AM5&lt;&gt;"So"),COUNTIF(Tabelle1[Spalte35],"")-1,"")))</f>
        <v>2</v>
      </c>
      <c r="AN11" s="55">
        <f ca="1">IF(IF(AND(AN4&lt;=TODAY(),AN5&lt;&gt;"Sa",AN5&lt;&gt;"So"),COUNTIF(Tabelle1[Spalte36],"A"),IF(AND(AN5&lt;&gt;"Sa",AN5&lt;&gt;"So"),COUNTIF(Tabelle1[Spalte36],"")-1,""))&lt;0,0,IF(AND(AN4&lt;=TODAY(),AN5&lt;&gt;"Sa",AN5&lt;&gt;"So"),COUNTIF(Tabelle1[Spalte36],"A"),IF(AND(AN5&lt;&gt;"Sa",AN5&lt;&gt;"So"),COUNTIF(Tabelle1[Spalte36],"")-1,"")))</f>
        <v>2</v>
      </c>
      <c r="AO11" s="55">
        <f ca="1">IF(IF(AND(AO4&lt;=TODAY(),AO5&lt;&gt;"Sa",AO5&lt;&gt;"So"),COUNTIF(Tabelle1[Spalte37],"A"),IF(AND(AO5&lt;&gt;"Sa",AO5&lt;&gt;"So"),COUNTIF(Tabelle1[Spalte37],"")-1,""))&lt;0,0,IF(AND(AO4&lt;=TODAY(),AO5&lt;&gt;"Sa",AO5&lt;&gt;"So"),COUNTIF(Tabelle1[Spalte37],"A"),IF(AND(AO5&lt;&gt;"Sa",AO5&lt;&gt;"So"),COUNTIF(Tabelle1[Spalte37],"")-1,"")))</f>
        <v>2</v>
      </c>
      <c r="AP11" s="55">
        <f ca="1">IF(IF(AND(AP4&lt;=TODAY(),AP5&lt;&gt;"Sa",AP5&lt;&gt;"So"),COUNTIF(Tabelle1[Spalte38],"A"),IF(AND(AP5&lt;&gt;"Sa",AP5&lt;&gt;"So"),COUNTIF(Tabelle1[Spalte38],"")-1,""))&lt;0,0,IF(AND(AP4&lt;=TODAY(),AP5&lt;&gt;"Sa",AP5&lt;&gt;"So"),COUNTIF(Tabelle1[Spalte38],"A"),IF(AND(AP5&lt;&gt;"Sa",AP5&lt;&gt;"So"),COUNTIF(Tabelle1[Spalte38],"")-1,"")))</f>
        <v>2</v>
      </c>
      <c r="AQ11" s="55" t="str">
        <f ca="1">IF(IF(AND(AQ4&lt;=TODAY(),AQ5&lt;&gt;"Sa",AQ5&lt;&gt;"So"),COUNTIF(Tabelle1[Spalte39],"A"),IF(AND(AQ5&lt;&gt;"Sa",AQ5&lt;&gt;"So"),COUNTIF(Tabelle1[Spalte39],"")-1,""))&lt;0,0,IF(AND(AQ4&lt;=TODAY(),AQ5&lt;&gt;"Sa",AQ5&lt;&gt;"So"),COUNTIF(Tabelle1[Spalte39],"A"),IF(AND(AQ5&lt;&gt;"Sa",AQ5&lt;&gt;"So"),COUNTIF(Tabelle1[Spalte39],"")-1,"")))</f>
        <v/>
      </c>
      <c r="AR11" s="55" t="str">
        <f ca="1">IF(IF(AND(AR4&lt;=TODAY(),AR5&lt;&gt;"Sa",AR5&lt;&gt;"So"),COUNTIF(Tabelle1[Spalte40],"A"),IF(AND(AR5&lt;&gt;"Sa",AR5&lt;&gt;"So"),COUNTIF(Tabelle1[Spalte40],"")-1,""))&lt;0,0,IF(AND(AR4&lt;=TODAY(),AR5&lt;&gt;"Sa",AR5&lt;&gt;"So"),COUNTIF(Tabelle1[Spalte40],"A"),IF(AND(AR5&lt;&gt;"Sa",AR5&lt;&gt;"So"),COUNTIF(Tabelle1[Spalte40],"")-1,"")))</f>
        <v/>
      </c>
      <c r="AS11" s="55">
        <f ca="1">IF(IF(AND(AS4&lt;=TODAY(),AS5&lt;&gt;"Sa",AS5&lt;&gt;"So"),COUNTIF(Tabelle1[Spalte41],"A"),IF(AND(AS5&lt;&gt;"Sa",AS5&lt;&gt;"So"),COUNTIF(Tabelle1[Spalte41],"")-1,""))&lt;0,0,IF(AND(AS4&lt;=TODAY(),AS5&lt;&gt;"Sa",AS5&lt;&gt;"So"),COUNTIF(Tabelle1[Spalte41],"A"),IF(AND(AS5&lt;&gt;"Sa",AS5&lt;&gt;"So"),COUNTIF(Tabelle1[Spalte41],"")-1,"")))</f>
        <v>2</v>
      </c>
      <c r="AT11" s="55">
        <f ca="1">IF(IF(AND(AT4&lt;=TODAY(),AT5&lt;&gt;"Sa",AT5&lt;&gt;"So"),COUNTIF(Tabelle1[Spalte42],"A"),IF(AND(AT5&lt;&gt;"Sa",AT5&lt;&gt;"So"),COUNTIF(Tabelle1[Spalte42],"")-1,""))&lt;0,0,IF(AND(AT4&lt;=TODAY(),AT5&lt;&gt;"Sa",AT5&lt;&gt;"So"),COUNTIF(Tabelle1[Spalte42],"A"),IF(AND(AT5&lt;&gt;"Sa",AT5&lt;&gt;"So"),COUNTIF(Tabelle1[Spalte42],"")-1,"")))</f>
        <v>2</v>
      </c>
      <c r="AU11" s="55">
        <f ca="1">IF(IF(AND(AU4&lt;=TODAY(),AU5&lt;&gt;"Sa",AU5&lt;&gt;"So"),COUNTIF(Tabelle1[Spalte43],"A"),IF(AND(AU5&lt;&gt;"Sa",AU5&lt;&gt;"So"),COUNTIF(Tabelle1[Spalte43],"")-1,""))&lt;0,0,IF(AND(AU4&lt;=TODAY(),AU5&lt;&gt;"Sa",AU5&lt;&gt;"So"),COUNTIF(Tabelle1[Spalte43],"A"),IF(AND(AU5&lt;&gt;"Sa",AU5&lt;&gt;"So"),COUNTIF(Tabelle1[Spalte43],"")-1,"")))</f>
        <v>2</v>
      </c>
      <c r="AV11" s="55">
        <f ca="1">IF(IF(AND(AV4&lt;=TODAY(),AV5&lt;&gt;"Sa",AV5&lt;&gt;"So"),COUNTIF(Tabelle1[Spalte44],"A"),IF(AND(AV5&lt;&gt;"Sa",AV5&lt;&gt;"So"),COUNTIF(Tabelle1[Spalte44],"")-1,""))&lt;0,0,IF(AND(AV4&lt;=TODAY(),AV5&lt;&gt;"Sa",AV5&lt;&gt;"So"),COUNTIF(Tabelle1[Spalte44],"A"),IF(AND(AV5&lt;&gt;"Sa",AV5&lt;&gt;"So"),COUNTIF(Tabelle1[Spalte44],"")-1,"")))</f>
        <v>2</v>
      </c>
      <c r="AW11" s="55">
        <f ca="1">IF(IF(AND(AW4&lt;=TODAY(),AW5&lt;&gt;"Sa",AW5&lt;&gt;"So"),COUNTIF(Tabelle1[Spalte45],"A"),IF(AND(AW5&lt;&gt;"Sa",AW5&lt;&gt;"So"),COUNTIF(Tabelle1[Spalte45],"")-1,""))&lt;0,0,IF(AND(AW4&lt;=TODAY(),AW5&lt;&gt;"Sa",AW5&lt;&gt;"So"),COUNTIF(Tabelle1[Spalte45],"A"),IF(AND(AW5&lt;&gt;"Sa",AW5&lt;&gt;"So"),COUNTIF(Tabelle1[Spalte45],"")-1,"")))</f>
        <v>2</v>
      </c>
      <c r="AX11" s="55" t="str">
        <f ca="1">IF(IF(AND(AX4&lt;=TODAY(),AX5&lt;&gt;"Sa",AX5&lt;&gt;"So"),COUNTIF(Tabelle1[Spalte46],"A"),IF(AND(AX5&lt;&gt;"Sa",AX5&lt;&gt;"So"),COUNTIF(Tabelle1[Spalte46],"")-1,""))&lt;0,0,IF(AND(AX4&lt;=TODAY(),AX5&lt;&gt;"Sa",AX5&lt;&gt;"So"),COUNTIF(Tabelle1[Spalte46],"A"),IF(AND(AX5&lt;&gt;"Sa",AX5&lt;&gt;"So"),COUNTIF(Tabelle1[Spalte46],"")-1,"")))</f>
        <v/>
      </c>
      <c r="AY11" s="55" t="str">
        <f ca="1">IF(IF(AND(AY4&lt;=TODAY(),AY5&lt;&gt;"Sa",AY5&lt;&gt;"So"),COUNTIF(Tabelle1[Spalte47],"A"),IF(AND(AY5&lt;&gt;"Sa",AY5&lt;&gt;"So"),COUNTIF(Tabelle1[Spalte47],"")-1,""))&lt;0,0,IF(AND(AY4&lt;=TODAY(),AY5&lt;&gt;"Sa",AY5&lt;&gt;"So"),COUNTIF(Tabelle1[Spalte47],"A"),IF(AND(AY5&lt;&gt;"Sa",AY5&lt;&gt;"So"),COUNTIF(Tabelle1[Spalte47],"")-1,"")))</f>
        <v/>
      </c>
      <c r="AZ11" s="55">
        <f ca="1">IF(IF(AND(AZ4&lt;=TODAY(),AZ5&lt;&gt;"Sa",AZ5&lt;&gt;"So"),COUNTIF(Tabelle1[Spalte48],"A"),IF(AND(AZ5&lt;&gt;"Sa",AZ5&lt;&gt;"So"),COUNTIF(Tabelle1[Spalte48],"")-1,""))&lt;0,0,IF(AND(AZ4&lt;=TODAY(),AZ5&lt;&gt;"Sa",AZ5&lt;&gt;"So"),COUNTIF(Tabelle1[Spalte48],"A"),IF(AND(AZ5&lt;&gt;"Sa",AZ5&lt;&gt;"So"),COUNTIF(Tabelle1[Spalte48],"")-1,"")))</f>
        <v>2</v>
      </c>
      <c r="BA11" s="55">
        <f ca="1">IF(IF(AND(BA4&lt;=TODAY(),BA5&lt;&gt;"Sa",BA5&lt;&gt;"So"),COUNTIF(Tabelle1[Spalte49],"A"),IF(AND(BA5&lt;&gt;"Sa",BA5&lt;&gt;"So"),COUNTIF(Tabelle1[Spalte49],"")-1,""))&lt;0,0,IF(AND(BA4&lt;=TODAY(),BA5&lt;&gt;"Sa",BA5&lt;&gt;"So"),COUNTIF(Tabelle1[Spalte49],"A"),IF(AND(BA5&lt;&gt;"Sa",BA5&lt;&gt;"So"),COUNTIF(Tabelle1[Spalte49],"")-1,"")))</f>
        <v>2</v>
      </c>
      <c r="BB11" s="55">
        <f ca="1">IF(IF(AND(BB4&lt;=TODAY(),BB5&lt;&gt;"Sa",BB5&lt;&gt;"So"),COUNTIF(Tabelle1[Spalte50],"A"),IF(AND(BB5&lt;&gt;"Sa",BB5&lt;&gt;"So"),COUNTIF(Tabelle1[Spalte50],"")-1,""))&lt;0,0,IF(AND(BB4&lt;=TODAY(),BB5&lt;&gt;"Sa",BB5&lt;&gt;"So"),COUNTIF(Tabelle1[Spalte50],"A"),IF(AND(BB5&lt;&gt;"Sa",BB5&lt;&gt;"So"),COUNTIF(Tabelle1[Spalte50],"")-1,"")))</f>
        <v>2</v>
      </c>
      <c r="BC11" s="55">
        <f ca="1">IF(IF(AND(BC4&lt;=TODAY(),BC5&lt;&gt;"Sa",BC5&lt;&gt;"So"),COUNTIF(Tabelle1[Spalte51],"A"),IF(AND(BC5&lt;&gt;"Sa",BC5&lt;&gt;"So"),COUNTIF(Tabelle1[Spalte51],"")-1,""))&lt;0,0,IF(AND(BC4&lt;=TODAY(),BC5&lt;&gt;"Sa",BC5&lt;&gt;"So"),COUNTIF(Tabelle1[Spalte51],"A"),IF(AND(BC5&lt;&gt;"Sa",BC5&lt;&gt;"So"),COUNTIF(Tabelle1[Spalte51],"")-1,"")))</f>
        <v>2</v>
      </c>
      <c r="BD11" s="55">
        <f ca="1">IF(IF(AND(BD4&lt;=TODAY(),BD5&lt;&gt;"Sa",BD5&lt;&gt;"So"),COUNTIF(Tabelle1[Spalte52],"A"),IF(AND(BD5&lt;&gt;"Sa",BD5&lt;&gt;"So"),COUNTIF(Tabelle1[Spalte52],"")-1,""))&lt;0,0,IF(AND(BD4&lt;=TODAY(),BD5&lt;&gt;"Sa",BD5&lt;&gt;"So"),COUNTIF(Tabelle1[Spalte52],"A"),IF(AND(BD5&lt;&gt;"Sa",BD5&lt;&gt;"So"),COUNTIF(Tabelle1[Spalte52],"")-1,"")))</f>
        <v>2</v>
      </c>
      <c r="BE11" s="55" t="str">
        <f ca="1">IF(IF(AND(BE4&lt;=TODAY(),BE5&lt;&gt;"Sa",BE5&lt;&gt;"So"),COUNTIF(Tabelle1[Spalte53],"A"),IF(AND(BE5&lt;&gt;"Sa",BE5&lt;&gt;"So"),COUNTIF(Tabelle1[Spalte53],"")-1,""))&lt;0,0,IF(AND(BE4&lt;=TODAY(),BE5&lt;&gt;"Sa",BE5&lt;&gt;"So"),COUNTIF(Tabelle1[Spalte53],"A"),IF(AND(BE5&lt;&gt;"Sa",BE5&lt;&gt;"So"),COUNTIF(Tabelle1[Spalte53],"")-1,"")))</f>
        <v/>
      </c>
      <c r="BF11" s="55" t="str">
        <f ca="1">IF(IF(AND(BF4&lt;=TODAY(),BF5&lt;&gt;"Sa",BF5&lt;&gt;"So"),COUNTIF(Tabelle1[Spalte54],"A"),IF(AND(BF5&lt;&gt;"Sa",BF5&lt;&gt;"So"),COUNTIF(Tabelle1[Spalte54],"")-1,""))&lt;0,0,IF(AND(BF4&lt;=TODAY(),BF5&lt;&gt;"Sa",BF5&lt;&gt;"So"),COUNTIF(Tabelle1[Spalte54],"A"),IF(AND(BF5&lt;&gt;"Sa",BF5&lt;&gt;"So"),COUNTIF(Tabelle1[Spalte54],"")-1,"")))</f>
        <v/>
      </c>
      <c r="BG11" s="55">
        <f ca="1">IF(IF(AND(BG4&lt;=TODAY(),BG5&lt;&gt;"Sa",BG5&lt;&gt;"So"),COUNTIF(Tabelle1[Spalte55],"A"),IF(AND(BG5&lt;&gt;"Sa",BG5&lt;&gt;"So"),COUNTIF(Tabelle1[Spalte55],"")-1,""))&lt;0,0,IF(AND(BG4&lt;=TODAY(),BG5&lt;&gt;"Sa",BG5&lt;&gt;"So"),COUNTIF(Tabelle1[Spalte55],"A"),IF(AND(BG5&lt;&gt;"Sa",BG5&lt;&gt;"So"),COUNTIF(Tabelle1[Spalte55],"")-1,"")))</f>
        <v>2</v>
      </c>
      <c r="BH11" s="55">
        <f ca="1">IF(IF(AND(BH4&lt;=TODAY(),BH5&lt;&gt;"Sa",BH5&lt;&gt;"So"),COUNTIF(Tabelle1[Spalte56],"A"),IF(AND(BH5&lt;&gt;"Sa",BH5&lt;&gt;"So"),COUNTIF(Tabelle1[Spalte56],"")-1,""))&lt;0,0,IF(AND(BH4&lt;=TODAY(),BH5&lt;&gt;"Sa",BH5&lt;&gt;"So"),COUNTIF(Tabelle1[Spalte56],"A"),IF(AND(BH5&lt;&gt;"Sa",BH5&lt;&gt;"So"),COUNTIF(Tabelle1[Spalte56],"")-1,"")))</f>
        <v>2</v>
      </c>
      <c r="BI11" s="55">
        <f ca="1">IF(IF(AND(BI4&lt;=TODAY(),BI5&lt;&gt;"Sa",BI5&lt;&gt;"So"),COUNTIF(Tabelle1[Spalte57],"A"),IF(AND(BI5&lt;&gt;"Sa",BI5&lt;&gt;"So"),COUNTIF(Tabelle1[Spalte57],"")-1,""))&lt;0,0,IF(AND(BI4&lt;=TODAY(),BI5&lt;&gt;"Sa",BI5&lt;&gt;"So"),COUNTIF(Tabelle1[Spalte57],"A"),IF(AND(BI5&lt;&gt;"Sa",BI5&lt;&gt;"So"),COUNTIF(Tabelle1[Spalte57],"")-1,"")))</f>
        <v>2</v>
      </c>
      <c r="BJ11" s="55">
        <f ca="1">IF(IF(AND(BJ4&lt;=TODAY(),BJ5&lt;&gt;"Sa",BJ5&lt;&gt;"So"),COUNTIF(Tabelle1[Spalte58],"A"),IF(AND(BJ5&lt;&gt;"Sa",BJ5&lt;&gt;"So"),COUNTIF(Tabelle1[Spalte58],"")-1,""))&lt;0,0,IF(AND(BJ4&lt;=TODAY(),BJ5&lt;&gt;"Sa",BJ5&lt;&gt;"So"),COUNTIF(Tabelle1[Spalte58],"A"),IF(AND(BJ5&lt;&gt;"Sa",BJ5&lt;&gt;"So"),COUNTIF(Tabelle1[Spalte58],"")-1,"")))</f>
        <v>2</v>
      </c>
      <c r="BK11" s="55">
        <f ca="1">IF(IF(AND(BK4&lt;=TODAY(),BK5&lt;&gt;"Sa",BK5&lt;&gt;"So"),COUNTIF(Tabelle1[Spalte59],"A"),IF(AND(BK5&lt;&gt;"Sa",BK5&lt;&gt;"So"),COUNTIF(Tabelle1[Spalte59],"")-1,""))&lt;0,0,IF(AND(BK4&lt;=TODAY(),BK5&lt;&gt;"Sa",BK5&lt;&gt;"So"),COUNTIF(Tabelle1[Spalte59],"A"),IF(AND(BK5&lt;&gt;"Sa",BK5&lt;&gt;"So"),COUNTIF(Tabelle1[Spalte59],"")-1,"")))</f>
        <v>2</v>
      </c>
      <c r="BL11" s="55" t="str">
        <f ca="1">IF(IF(AND(BL4&lt;=TODAY(),BL5&lt;&gt;"Sa",BL5&lt;&gt;"So"),COUNTIF(Tabelle1[Spalte60],"A"),IF(AND(BL5&lt;&gt;"Sa",BL5&lt;&gt;"So"),COUNTIF(Tabelle1[Spalte60],"")-1,""))&lt;0,0,IF(AND(BL4&lt;=TODAY(),BL5&lt;&gt;"Sa",BL5&lt;&gt;"So"),COUNTIF(Tabelle1[Spalte60],"A"),IF(AND(BL5&lt;&gt;"Sa",BL5&lt;&gt;"So"),COUNTIF(Tabelle1[Spalte60],"")-1,"")))</f>
        <v/>
      </c>
      <c r="BM11" s="55" t="str">
        <f ca="1">IF(IF(AND(BM4&lt;=TODAY(),BM5&lt;&gt;"Sa",BM5&lt;&gt;"So"),COUNTIF(Tabelle1[Spalte61],"A"),IF(AND(BM5&lt;&gt;"Sa",BM5&lt;&gt;"So"),COUNTIF(Tabelle1[Spalte61],"")-1,""))&lt;0,0,IF(AND(BM4&lt;=TODAY(),BM5&lt;&gt;"Sa",BM5&lt;&gt;"So"),COUNTIF(Tabelle1[Spalte61],"A"),IF(AND(BM5&lt;&gt;"Sa",BM5&lt;&gt;"So"),COUNTIF(Tabelle1[Spalte61],"")-1,"")))</f>
        <v/>
      </c>
      <c r="BN11" s="55">
        <f ca="1">IF(IF(AND(BN4&lt;=TODAY(),BN5&lt;&gt;"Sa",BN5&lt;&gt;"So"),COUNTIF(Tabelle1[Spalte62],"A"),IF(AND(BN5&lt;&gt;"Sa",BN5&lt;&gt;"So"),COUNTIF(Tabelle1[Spalte62],"")-1,""))&lt;0,0,IF(AND(BN4&lt;=TODAY(),BN5&lt;&gt;"Sa",BN5&lt;&gt;"So"),COUNTIF(Tabelle1[Spalte62],"A"),IF(AND(BN5&lt;&gt;"Sa",BN5&lt;&gt;"So"),COUNTIF(Tabelle1[Spalte62],"")-1,"")))</f>
        <v>2</v>
      </c>
      <c r="BO11" s="55">
        <f ca="1">IF(IF(AND(BO4&lt;=TODAY(),BO5&lt;&gt;"Sa",BO5&lt;&gt;"So"),COUNTIF(Tabelle1[Spalte63],"A"),IF(AND(BO5&lt;&gt;"Sa",BO5&lt;&gt;"So"),COUNTIF(Tabelle1[Spalte63],"")-1,""))&lt;0,0,IF(AND(BO4&lt;=TODAY(),BO5&lt;&gt;"Sa",BO5&lt;&gt;"So"),COUNTIF(Tabelle1[Spalte63],"A"),IF(AND(BO5&lt;&gt;"Sa",BO5&lt;&gt;"So"),COUNTIF(Tabelle1[Spalte63],"")-1,"")))</f>
        <v>2</v>
      </c>
      <c r="BP11" s="55">
        <f ca="1">IF(IF(AND(BP4&lt;=TODAY(),BP5&lt;&gt;"Sa",BP5&lt;&gt;"So"),COUNTIF(Tabelle1[Spalte64],"A"),IF(AND(BP5&lt;&gt;"Sa",BP5&lt;&gt;"So"),COUNTIF(Tabelle1[Spalte64],"")-1,""))&lt;0,0,IF(AND(BP4&lt;=TODAY(),BP5&lt;&gt;"Sa",BP5&lt;&gt;"So"),COUNTIF(Tabelle1[Spalte64],"A"),IF(AND(BP5&lt;&gt;"Sa",BP5&lt;&gt;"So"),COUNTIF(Tabelle1[Spalte64],"")-1,"")))</f>
        <v>2</v>
      </c>
      <c r="BQ11" s="55">
        <f ca="1">IF(IF(AND(BQ4&lt;=TODAY(),BQ5&lt;&gt;"Sa",BQ5&lt;&gt;"So"),COUNTIF(Tabelle1[Spalte65],"A"),IF(AND(BQ5&lt;&gt;"Sa",BQ5&lt;&gt;"So"),COUNTIF(Tabelle1[Spalte65],"")-1,""))&lt;0,0,IF(AND(BQ4&lt;=TODAY(),BQ5&lt;&gt;"Sa",BQ5&lt;&gt;"So"),COUNTIF(Tabelle1[Spalte65],"A"),IF(AND(BQ5&lt;&gt;"Sa",BQ5&lt;&gt;"So"),COUNTIF(Tabelle1[Spalte65],"")-1,"")))</f>
        <v>2</v>
      </c>
      <c r="BR11" s="55">
        <f ca="1">IF(IF(AND(BR4&lt;=TODAY(),BR5&lt;&gt;"Sa",BR5&lt;&gt;"So"),COUNTIF(Tabelle1[Spalte66],"A"),IF(AND(BR5&lt;&gt;"Sa",BR5&lt;&gt;"So"),COUNTIF(Tabelle1[Spalte66],"")-1,""))&lt;0,0,IF(AND(BR4&lt;=TODAY(),BR5&lt;&gt;"Sa",BR5&lt;&gt;"So"),COUNTIF(Tabelle1[Spalte66],"A"),IF(AND(BR5&lt;&gt;"Sa",BR5&lt;&gt;"So"),COUNTIF(Tabelle1[Spalte66],"")-1,"")))</f>
        <v>2</v>
      </c>
      <c r="BS11" s="55" t="str">
        <f ca="1">IF(IF(AND(BS4&lt;=TODAY(),BS5&lt;&gt;"Sa",BS5&lt;&gt;"So"),COUNTIF(Tabelle1[Spalte67],"A"),IF(AND(BS5&lt;&gt;"Sa",BS5&lt;&gt;"So"),COUNTIF(Tabelle1[Spalte67],"")-1,""))&lt;0,0,IF(AND(BS4&lt;=TODAY(),BS5&lt;&gt;"Sa",BS5&lt;&gt;"So"),COUNTIF(Tabelle1[Spalte67],"A"),IF(AND(BS5&lt;&gt;"Sa",BS5&lt;&gt;"So"),COUNTIF(Tabelle1[Spalte67],"")-1,"")))</f>
        <v/>
      </c>
      <c r="BT11" s="55" t="str">
        <f ca="1">IF(IF(AND(BT4&lt;=TODAY(),BT5&lt;&gt;"Sa",BT5&lt;&gt;"So"),COUNTIF(Tabelle1[Spalte68],"A"),IF(AND(BT5&lt;&gt;"Sa",BT5&lt;&gt;"So"),COUNTIF(Tabelle1[Spalte68],"")-1,""))&lt;0,0,IF(AND(BT4&lt;=TODAY(),BT5&lt;&gt;"Sa",BT5&lt;&gt;"So"),COUNTIF(Tabelle1[Spalte68],"A"),IF(AND(BT5&lt;&gt;"Sa",BT5&lt;&gt;"So"),COUNTIF(Tabelle1[Spalte68],"")-1,"")))</f>
        <v/>
      </c>
      <c r="BU11" s="55">
        <f ca="1">IF(IF(AND(BU4&lt;=TODAY(),BU5&lt;&gt;"Sa",BU5&lt;&gt;"So"),COUNTIF(Tabelle1[Spalte69],"A"),IF(AND(BU5&lt;&gt;"Sa",BU5&lt;&gt;"So"),COUNTIF(Tabelle1[Spalte69],"")-1,""))&lt;0,0,IF(AND(BU4&lt;=TODAY(),BU5&lt;&gt;"Sa",BU5&lt;&gt;"So"),COUNTIF(Tabelle1[Spalte69],"A"),IF(AND(BU5&lt;&gt;"Sa",BU5&lt;&gt;"So"),COUNTIF(Tabelle1[Spalte69],"")-1,"")))</f>
        <v>2</v>
      </c>
      <c r="BV11" s="55">
        <f ca="1">IF(IF(AND(BV4&lt;=TODAY(),BV5&lt;&gt;"Sa",BV5&lt;&gt;"So"),COUNTIF(Tabelle1[Spalte70],"A"),IF(AND(BV5&lt;&gt;"Sa",BV5&lt;&gt;"So"),COUNTIF(Tabelle1[Spalte70],"")-1,""))&lt;0,0,IF(AND(BV4&lt;=TODAY(),BV5&lt;&gt;"Sa",BV5&lt;&gt;"So"),COUNTIF(Tabelle1[Spalte70],"A"),IF(AND(BV5&lt;&gt;"Sa",BV5&lt;&gt;"So"),COUNTIF(Tabelle1[Spalte70],"")-1,"")))</f>
        <v>2</v>
      </c>
      <c r="BW11" s="55">
        <f ca="1">IF(IF(AND(BW4&lt;=TODAY(),BW5&lt;&gt;"Sa",BW5&lt;&gt;"So"),COUNTIF(Tabelle1[Spalte71],"A"),IF(AND(BW5&lt;&gt;"Sa",BW5&lt;&gt;"So"),COUNTIF(Tabelle1[Spalte71],"")-1,""))&lt;0,0,IF(AND(BW4&lt;=TODAY(),BW5&lt;&gt;"Sa",BW5&lt;&gt;"So"),COUNTIF(Tabelle1[Spalte71],"A"),IF(AND(BW5&lt;&gt;"Sa",BW5&lt;&gt;"So"),COUNTIF(Tabelle1[Spalte71],"")-1,"")))</f>
        <v>2</v>
      </c>
      <c r="BX11" s="55">
        <f ca="1">IF(IF(AND(BX4&lt;=TODAY(),BX5&lt;&gt;"Sa",BX5&lt;&gt;"So"),COUNTIF(Tabelle1[Spalte72],"A"),IF(AND(BX5&lt;&gt;"Sa",BX5&lt;&gt;"So"),COUNTIF(Tabelle1[Spalte72],"")-1,""))&lt;0,0,IF(AND(BX4&lt;=TODAY(),BX5&lt;&gt;"Sa",BX5&lt;&gt;"So"),COUNTIF(Tabelle1[Spalte72],"A"),IF(AND(BX5&lt;&gt;"Sa",BX5&lt;&gt;"So"),COUNTIF(Tabelle1[Spalte72],"")-1,"")))</f>
        <v>2</v>
      </c>
      <c r="BY11" s="55">
        <f ca="1">IF(IF(AND(BY4&lt;=TODAY(),BY5&lt;&gt;"Sa",BY5&lt;&gt;"So"),COUNTIF(Tabelle1[Spalte73],"A"),IF(AND(BY5&lt;&gt;"Sa",BY5&lt;&gt;"So"),COUNTIF(Tabelle1[Spalte73],"")-1,""))&lt;0,0,IF(AND(BY4&lt;=TODAY(),BY5&lt;&gt;"Sa",BY5&lt;&gt;"So"),COUNTIF(Tabelle1[Spalte73],"A"),IF(AND(BY5&lt;&gt;"Sa",BY5&lt;&gt;"So"),COUNTIF(Tabelle1[Spalte73],"")-1,"")))</f>
        <v>2</v>
      </c>
      <c r="BZ11" s="55" t="str">
        <f ca="1">IF(IF(AND(BZ4&lt;=TODAY(),BZ5&lt;&gt;"Sa",BZ5&lt;&gt;"So"),COUNTIF(Tabelle1[Spalte74],"A"),IF(AND(BZ5&lt;&gt;"Sa",BZ5&lt;&gt;"So"),COUNTIF(Tabelle1[Spalte74],"")-1,""))&lt;0,0,IF(AND(BZ4&lt;=TODAY(),BZ5&lt;&gt;"Sa",BZ5&lt;&gt;"So"),COUNTIF(Tabelle1[Spalte74],"A"),IF(AND(BZ5&lt;&gt;"Sa",BZ5&lt;&gt;"So"),COUNTIF(Tabelle1[Spalte74],"")-1,"")))</f>
        <v/>
      </c>
      <c r="CA11" s="55" t="str">
        <f ca="1">IF(IF(AND(CA4&lt;=TODAY(),CA5&lt;&gt;"Sa",CA5&lt;&gt;"So"),COUNTIF(Tabelle1[Spalte75],"A"),IF(AND(CA5&lt;&gt;"Sa",CA5&lt;&gt;"So"),COUNTIF(Tabelle1[Spalte75],"")-1,""))&lt;0,0,IF(AND(CA4&lt;=TODAY(),CA5&lt;&gt;"Sa",CA5&lt;&gt;"So"),COUNTIF(Tabelle1[Spalte75],"A"),IF(AND(CA5&lt;&gt;"Sa",CA5&lt;&gt;"So"),COUNTIF(Tabelle1[Spalte75],"")-1,"")))</f>
        <v/>
      </c>
      <c r="CB11" s="55">
        <f ca="1">IF(IF(AND(CB4&lt;=TODAY(),CB5&lt;&gt;"Sa",CB5&lt;&gt;"So"),COUNTIF(Tabelle1[Spalte76],"A"),IF(AND(CB5&lt;&gt;"Sa",CB5&lt;&gt;"So"),COUNTIF(Tabelle1[Spalte76],"")-1,""))&lt;0,0,IF(AND(CB4&lt;=TODAY(),CB5&lt;&gt;"Sa",CB5&lt;&gt;"So"),COUNTIF(Tabelle1[Spalte76],"A"),IF(AND(CB5&lt;&gt;"Sa",CB5&lt;&gt;"So"),COUNTIF(Tabelle1[Spalte76],"")-1,"")))</f>
        <v>2</v>
      </c>
      <c r="CC11" s="55">
        <f ca="1">IF(IF(AND(CC4&lt;=TODAY(),CC5&lt;&gt;"Sa",CC5&lt;&gt;"So"),COUNTIF(Tabelle1[Spalte77],"A"),IF(AND(CC5&lt;&gt;"Sa",CC5&lt;&gt;"So"),COUNTIF(Tabelle1[Spalte77],"")-1,""))&lt;0,0,IF(AND(CC4&lt;=TODAY(),CC5&lt;&gt;"Sa",CC5&lt;&gt;"So"),COUNTIF(Tabelle1[Spalte77],"A"),IF(AND(CC5&lt;&gt;"Sa",CC5&lt;&gt;"So"),COUNTIF(Tabelle1[Spalte77],"")-1,"")))</f>
        <v>2</v>
      </c>
      <c r="CD11" s="55">
        <f ca="1">IF(IF(AND(CD4&lt;=TODAY(),CD5&lt;&gt;"Sa",CD5&lt;&gt;"So"),COUNTIF(Tabelle1[Spalte78],"A"),IF(AND(CD5&lt;&gt;"Sa",CD5&lt;&gt;"So"),COUNTIF(Tabelle1[Spalte78],"")-1,""))&lt;0,0,IF(AND(CD4&lt;=TODAY(),CD5&lt;&gt;"Sa",CD5&lt;&gt;"So"),COUNTIF(Tabelle1[Spalte78],"A"),IF(AND(CD5&lt;&gt;"Sa",CD5&lt;&gt;"So"),COUNTIF(Tabelle1[Spalte78],"")-1,"")))</f>
        <v>2</v>
      </c>
      <c r="CE11" s="55">
        <f ca="1">IF(IF(AND(CE4&lt;=TODAY(),CE5&lt;&gt;"Sa",CE5&lt;&gt;"So"),COUNTIF(Tabelle1[Spalte79],"A"),IF(AND(CE5&lt;&gt;"Sa",CE5&lt;&gt;"So"),COUNTIF(Tabelle1[Spalte79],"")-1,""))&lt;0,0,IF(AND(CE4&lt;=TODAY(),CE5&lt;&gt;"Sa",CE5&lt;&gt;"So"),COUNTIF(Tabelle1[Spalte79],"A"),IF(AND(CE5&lt;&gt;"Sa",CE5&lt;&gt;"So"),COUNTIF(Tabelle1[Spalte79],"")-1,"")))</f>
        <v>2</v>
      </c>
      <c r="CF11" s="55">
        <f ca="1">IF(IF(AND(CF4&lt;=TODAY(),CF5&lt;&gt;"Sa",CF5&lt;&gt;"So"),COUNTIF(Tabelle1[Spalte80],"A"),IF(AND(CF5&lt;&gt;"Sa",CF5&lt;&gt;"So"),COUNTIF(Tabelle1[Spalte80],"")-1,""))&lt;0,0,IF(AND(CF4&lt;=TODAY(),CF5&lt;&gt;"Sa",CF5&lt;&gt;"So"),COUNTIF(Tabelle1[Spalte80],"A"),IF(AND(CF5&lt;&gt;"Sa",CF5&lt;&gt;"So"),COUNTIF(Tabelle1[Spalte80],"")-1,"")))</f>
        <v>2</v>
      </c>
      <c r="CG11" s="55" t="str">
        <f ca="1">IF(IF(AND(CG4&lt;=TODAY(),CG5&lt;&gt;"Sa",CG5&lt;&gt;"So"),COUNTIF(Tabelle1[Spalte81],"A"),IF(AND(CG5&lt;&gt;"Sa",CG5&lt;&gt;"So"),COUNTIF(Tabelle1[Spalte81],"")-1,""))&lt;0,0,IF(AND(CG4&lt;=TODAY(),CG5&lt;&gt;"Sa",CG5&lt;&gt;"So"),COUNTIF(Tabelle1[Spalte81],"A"),IF(AND(CG5&lt;&gt;"Sa",CG5&lt;&gt;"So"),COUNTIF(Tabelle1[Spalte81],"")-1,"")))</f>
        <v/>
      </c>
      <c r="CH11" s="55" t="str">
        <f ca="1">IF(IF(AND(CH4&lt;=TODAY(),CH5&lt;&gt;"Sa",CH5&lt;&gt;"So"),COUNTIF(Tabelle1[Spalte82],"A"),IF(AND(CH5&lt;&gt;"Sa",CH5&lt;&gt;"So"),COUNTIF(Tabelle1[Spalte82],"")-1,""))&lt;0,0,IF(AND(CH4&lt;=TODAY(),CH5&lt;&gt;"Sa",CH5&lt;&gt;"So"),COUNTIF(Tabelle1[Spalte82],"A"),IF(AND(CH5&lt;&gt;"Sa",CH5&lt;&gt;"So"),COUNTIF(Tabelle1[Spalte82],"")-1,"")))</f>
        <v/>
      </c>
      <c r="CI11" s="55">
        <f ca="1">IF(IF(AND(CI4&lt;=TODAY(),CI5&lt;&gt;"Sa",CI5&lt;&gt;"So"),COUNTIF(Tabelle1[Spalte83],"A"),IF(AND(CI5&lt;&gt;"Sa",CI5&lt;&gt;"So"),COUNTIF(Tabelle1[Spalte83],"")-1,""))&lt;0,0,IF(AND(CI4&lt;=TODAY(),CI5&lt;&gt;"Sa",CI5&lt;&gt;"So"),COUNTIF(Tabelle1[Spalte83],"A"),IF(AND(CI5&lt;&gt;"Sa",CI5&lt;&gt;"So"),COUNTIF(Tabelle1[Spalte83],"")-1,"")))</f>
        <v>2</v>
      </c>
      <c r="CJ11" s="55">
        <f ca="1">IF(IF(AND(CJ4&lt;=TODAY(),CJ5&lt;&gt;"Sa",CJ5&lt;&gt;"So"),COUNTIF(Tabelle1[Spalte84],"A"),IF(AND(CJ5&lt;&gt;"Sa",CJ5&lt;&gt;"So"),COUNTIF(Tabelle1[Spalte84],"")-1,""))&lt;0,0,IF(AND(CJ4&lt;=TODAY(),CJ5&lt;&gt;"Sa",CJ5&lt;&gt;"So"),COUNTIF(Tabelle1[Spalte84],"A"),IF(AND(CJ5&lt;&gt;"Sa",CJ5&lt;&gt;"So"),COUNTIF(Tabelle1[Spalte84],"")-1,"")))</f>
        <v>2</v>
      </c>
      <c r="CK11" s="55">
        <f ca="1">IF(IF(AND(CK4&lt;=TODAY(),CK5&lt;&gt;"Sa",CK5&lt;&gt;"So"),COUNTIF(Tabelle1[Spalte85],"A"),IF(AND(CK5&lt;&gt;"Sa",CK5&lt;&gt;"So"),COUNTIF(Tabelle1[Spalte85],"")-1,""))&lt;0,0,IF(AND(CK4&lt;=TODAY(),CK5&lt;&gt;"Sa",CK5&lt;&gt;"So"),COUNTIF(Tabelle1[Spalte85],"A"),IF(AND(CK5&lt;&gt;"Sa",CK5&lt;&gt;"So"),COUNTIF(Tabelle1[Spalte85],"")-1,"")))</f>
        <v>2</v>
      </c>
      <c r="CL11" s="55">
        <f ca="1">IF(IF(AND(CL4&lt;=TODAY(),CL5&lt;&gt;"Sa",CL5&lt;&gt;"So"),COUNTIF(Tabelle1[Spalte86],"A"),IF(AND(CL5&lt;&gt;"Sa",CL5&lt;&gt;"So"),COUNTIF(Tabelle1[Spalte86],"")-1,""))&lt;0,0,IF(AND(CL4&lt;=TODAY(),CL5&lt;&gt;"Sa",CL5&lt;&gt;"So"),COUNTIF(Tabelle1[Spalte86],"A"),IF(AND(CL5&lt;&gt;"Sa",CL5&lt;&gt;"So"),COUNTIF(Tabelle1[Spalte86],"")-1,"")))</f>
        <v>2</v>
      </c>
      <c r="CM11" s="55">
        <f ca="1">IF(IF(AND(CM4&lt;=TODAY(),CM5&lt;&gt;"Sa",CM5&lt;&gt;"So"),COUNTIF(Tabelle1[Spalte87],"A"),IF(AND(CM5&lt;&gt;"Sa",CM5&lt;&gt;"So"),COUNTIF(Tabelle1[Spalte87],"")-1,""))&lt;0,0,IF(AND(CM4&lt;=TODAY(),CM5&lt;&gt;"Sa",CM5&lt;&gt;"So"),COUNTIF(Tabelle1[Spalte87],"A"),IF(AND(CM5&lt;&gt;"Sa",CM5&lt;&gt;"So"),COUNTIF(Tabelle1[Spalte87],"")-1,"")))</f>
        <v>2</v>
      </c>
      <c r="CN11" s="55" t="str">
        <f ca="1">IF(IF(AND(CN4&lt;=TODAY(),CN5&lt;&gt;"Sa",CN5&lt;&gt;"So"),COUNTIF(Tabelle1[Spalte88],"A"),IF(AND(CN5&lt;&gt;"Sa",CN5&lt;&gt;"So"),COUNTIF(Tabelle1[Spalte88],"")-1,""))&lt;0,0,IF(AND(CN4&lt;=TODAY(),CN5&lt;&gt;"Sa",CN5&lt;&gt;"So"),COUNTIF(Tabelle1[Spalte88],"A"),IF(AND(CN5&lt;&gt;"Sa",CN5&lt;&gt;"So"),COUNTIF(Tabelle1[Spalte88],"")-1,"")))</f>
        <v/>
      </c>
      <c r="CO11" s="55" t="str">
        <f ca="1">IF(IF(AND(CO4&lt;=TODAY(),CO5&lt;&gt;"Sa",CO5&lt;&gt;"So"),COUNTIF(Tabelle1[Spalte89],"A"),IF(AND(CO5&lt;&gt;"Sa",CO5&lt;&gt;"So"),COUNTIF(Tabelle1[Spalte89],"")-1,""))&lt;0,0,IF(AND(CO4&lt;=TODAY(),CO5&lt;&gt;"Sa",CO5&lt;&gt;"So"),COUNTIF(Tabelle1[Spalte89],"A"),IF(AND(CO5&lt;&gt;"Sa",CO5&lt;&gt;"So"),COUNTIF(Tabelle1[Spalte89],"")-1,"")))</f>
        <v/>
      </c>
      <c r="CP11" s="55">
        <f ca="1">IF(IF(AND(CP4&lt;=TODAY(),CP5&lt;&gt;"Sa",CP5&lt;&gt;"So"),COUNTIF(Tabelle1[Spalte90],"A"),IF(AND(CP5&lt;&gt;"Sa",CP5&lt;&gt;"So"),COUNTIF(Tabelle1[Spalte90],"")-1,""))&lt;0,0,IF(AND(CP4&lt;=TODAY(),CP5&lt;&gt;"Sa",CP5&lt;&gt;"So"),COUNTIF(Tabelle1[Spalte90],"A"),IF(AND(CP5&lt;&gt;"Sa",CP5&lt;&gt;"So"),COUNTIF(Tabelle1[Spalte90],"")-1,"")))</f>
        <v>2</v>
      </c>
      <c r="CQ11" s="55">
        <f ca="1">IF(IF(AND(CQ4&lt;=TODAY(),CQ5&lt;&gt;"Sa",CQ5&lt;&gt;"So"),COUNTIF(Tabelle1[Spalte91],"A"),IF(AND(CQ5&lt;&gt;"Sa",CQ5&lt;&gt;"So"),COUNTIF(Tabelle1[Spalte91],"")-1,""))&lt;0,0,IF(AND(CQ4&lt;=TODAY(),CQ5&lt;&gt;"Sa",CQ5&lt;&gt;"So"),COUNTIF(Tabelle1[Spalte91],"A"),IF(AND(CQ5&lt;&gt;"Sa",CQ5&lt;&gt;"So"),COUNTIF(Tabelle1[Spalte91],"")-1,"")))</f>
        <v>2</v>
      </c>
      <c r="CR11" s="55">
        <f ca="1">IF(IF(AND(CR4&lt;=TODAY(),CR5&lt;&gt;"Sa",CR5&lt;&gt;"So"),COUNTIF(Tabelle1[Spalte92],"A"),IF(AND(CR5&lt;&gt;"Sa",CR5&lt;&gt;"So"),COUNTIF(Tabelle1[Spalte92],"")-1,""))&lt;0,0,IF(AND(CR4&lt;=TODAY(),CR5&lt;&gt;"Sa",CR5&lt;&gt;"So"),COUNTIF(Tabelle1[Spalte92],"A"),IF(AND(CR5&lt;&gt;"Sa",CR5&lt;&gt;"So"),COUNTIF(Tabelle1[Spalte92],"")-1,"")))</f>
        <v>2</v>
      </c>
      <c r="CS11" s="55">
        <f ca="1">IF(IF(AND(CS4&lt;=TODAY(),CS5&lt;&gt;"Sa",CS5&lt;&gt;"So"),COUNTIF(Tabelle1[Spalte93],"A"),IF(AND(CS5&lt;&gt;"Sa",CS5&lt;&gt;"So"),COUNTIF(Tabelle1[Spalte93],"")-1,""))&lt;0,0,IF(AND(CS4&lt;=TODAY(),CS5&lt;&gt;"Sa",CS5&lt;&gt;"So"),COUNTIF(Tabelle1[Spalte93],"A"),IF(AND(CS5&lt;&gt;"Sa",CS5&lt;&gt;"So"),COUNTIF(Tabelle1[Spalte93],"")-1,"")))</f>
        <v>2</v>
      </c>
      <c r="CT11" s="55">
        <f ca="1">IF(IF(AND(CT4&lt;=TODAY(),CT5&lt;&gt;"Sa",CT5&lt;&gt;"So"),COUNTIF(Tabelle1[Spalte94],"A"),IF(AND(CT5&lt;&gt;"Sa",CT5&lt;&gt;"So"),COUNTIF(Tabelle1[Spalte94],"")-1,""))&lt;0,0,IF(AND(CT4&lt;=TODAY(),CT5&lt;&gt;"Sa",CT5&lt;&gt;"So"),COUNTIF(Tabelle1[Spalte94],"A"),IF(AND(CT5&lt;&gt;"Sa",CT5&lt;&gt;"So"),COUNTIF(Tabelle1[Spalte94],"")-1,"")))</f>
        <v>2</v>
      </c>
      <c r="CU11" s="55" t="str">
        <f ca="1">IF(IF(AND(CU4&lt;=TODAY(),CU5&lt;&gt;"Sa",CU5&lt;&gt;"So"),COUNTIF(Tabelle1[Spalte95],"A"),IF(AND(CU5&lt;&gt;"Sa",CU5&lt;&gt;"So"),COUNTIF(Tabelle1[Spalte95],"")-1,""))&lt;0,0,IF(AND(CU4&lt;=TODAY(),CU5&lt;&gt;"Sa",CU5&lt;&gt;"So"),COUNTIF(Tabelle1[Spalte95],"A"),IF(AND(CU5&lt;&gt;"Sa",CU5&lt;&gt;"So"),COUNTIF(Tabelle1[Spalte95],"")-1,"")))</f>
        <v/>
      </c>
      <c r="CV11" s="55" t="str">
        <f ca="1">IF(IF(AND(CV4&lt;=TODAY(),CV5&lt;&gt;"Sa",CV5&lt;&gt;"So"),COUNTIF(Tabelle1[Spalte96],"A"),IF(AND(CV5&lt;&gt;"Sa",CV5&lt;&gt;"So"),COUNTIF(Tabelle1[Spalte96],"")-1,""))&lt;0,0,IF(AND(CV4&lt;=TODAY(),CV5&lt;&gt;"Sa",CV5&lt;&gt;"So"),COUNTIF(Tabelle1[Spalte96],"A"),IF(AND(CV5&lt;&gt;"Sa",CV5&lt;&gt;"So"),COUNTIF(Tabelle1[Spalte96],"")-1,"")))</f>
        <v/>
      </c>
      <c r="CW11" s="55">
        <f ca="1">IF(IF(AND(CW4&lt;=TODAY(),CW5&lt;&gt;"Sa",CW5&lt;&gt;"So"),COUNTIF(Tabelle1[Spalte97],"A"),IF(AND(CW5&lt;&gt;"Sa",CW5&lt;&gt;"So"),COUNTIF(Tabelle1[Spalte97],"")-1,""))&lt;0,0,IF(AND(CW4&lt;=TODAY(),CW5&lt;&gt;"Sa",CW5&lt;&gt;"So"),COUNTIF(Tabelle1[Spalte97],"A"),IF(AND(CW5&lt;&gt;"Sa",CW5&lt;&gt;"So"),COUNTIF(Tabelle1[Spalte97],"")-1,"")))</f>
        <v>2</v>
      </c>
      <c r="CX11" s="55">
        <f ca="1">IF(IF(AND(CX4&lt;=TODAY(),CX5&lt;&gt;"Sa",CX5&lt;&gt;"So"),COUNTIF(Tabelle1[Spalte98],"A"),IF(AND(CX5&lt;&gt;"Sa",CX5&lt;&gt;"So"),COUNTIF(Tabelle1[Spalte98],"")-1,""))&lt;0,0,IF(AND(CX4&lt;=TODAY(),CX5&lt;&gt;"Sa",CX5&lt;&gt;"So"),COUNTIF(Tabelle1[Spalte98],"A"),IF(AND(CX5&lt;&gt;"Sa",CX5&lt;&gt;"So"),COUNTIF(Tabelle1[Spalte98],"")-1,"")))</f>
        <v>2</v>
      </c>
      <c r="CY11" s="55">
        <f ca="1">IF(IF(AND(CY4&lt;=TODAY(),CY5&lt;&gt;"Sa",CY5&lt;&gt;"So"),COUNTIF(Tabelle1[Spalte99],"A"),IF(AND(CY5&lt;&gt;"Sa",CY5&lt;&gt;"So"),COUNTIF(Tabelle1[Spalte99],"")-1,""))&lt;0,0,IF(AND(CY4&lt;=TODAY(),CY5&lt;&gt;"Sa",CY5&lt;&gt;"So"),COUNTIF(Tabelle1[Spalte99],"A"),IF(AND(CY5&lt;&gt;"Sa",CY5&lt;&gt;"So"),COUNTIF(Tabelle1[Spalte99],"")-1,"")))</f>
        <v>2</v>
      </c>
      <c r="CZ11" s="55">
        <f ca="1">IF(IF(AND(CZ4&lt;=TODAY(),CZ5&lt;&gt;"Sa",CZ5&lt;&gt;"So"),COUNTIF(Tabelle1[Spalte100],"A"),IF(AND(CZ5&lt;&gt;"Sa",CZ5&lt;&gt;"So"),COUNTIF(Tabelle1[Spalte100],"")-1,""))&lt;0,0,IF(AND(CZ4&lt;=TODAY(),CZ5&lt;&gt;"Sa",CZ5&lt;&gt;"So"),COUNTIF(Tabelle1[Spalte100],"A"),IF(AND(CZ5&lt;&gt;"Sa",CZ5&lt;&gt;"So"),COUNTIF(Tabelle1[Spalte100],"")-1,"")))</f>
        <v>2</v>
      </c>
      <c r="DA11" s="55">
        <f ca="1">IF(IF(AND(DA4&lt;=TODAY(),DA5&lt;&gt;"Sa",DA5&lt;&gt;"So"),COUNTIF(Tabelle1[Spalte101],"A"),IF(AND(DA5&lt;&gt;"Sa",DA5&lt;&gt;"So"),COUNTIF(Tabelle1[Spalte101],"")-1,""))&lt;0,0,IF(AND(DA4&lt;=TODAY(),DA5&lt;&gt;"Sa",DA5&lt;&gt;"So"),COUNTIF(Tabelle1[Spalte101],"A"),IF(AND(DA5&lt;&gt;"Sa",DA5&lt;&gt;"So"),COUNTIF(Tabelle1[Spalte101],"")-1,"")))</f>
        <v>2</v>
      </c>
      <c r="DB11" s="55" t="str">
        <f ca="1">IF(IF(AND(DB4&lt;=TODAY(),DB5&lt;&gt;"Sa",DB5&lt;&gt;"So"),COUNTIF(Tabelle1[Spalte102],"A"),IF(AND(DB5&lt;&gt;"Sa",DB5&lt;&gt;"So"),COUNTIF(Tabelle1[Spalte102],"")-1,""))&lt;0,0,IF(AND(DB4&lt;=TODAY(),DB5&lt;&gt;"Sa",DB5&lt;&gt;"So"),COUNTIF(Tabelle1[Spalte102],"A"),IF(AND(DB5&lt;&gt;"Sa",DB5&lt;&gt;"So"),COUNTIF(Tabelle1[Spalte102],"")-1,"")))</f>
        <v/>
      </c>
      <c r="DC11" s="55" t="str">
        <f ca="1">IF(IF(AND(DC4&lt;=TODAY(),DC5&lt;&gt;"Sa",DC5&lt;&gt;"So"),COUNTIF(Tabelle1[Spalte103],"A"),IF(AND(DC5&lt;&gt;"Sa",DC5&lt;&gt;"So"),COUNTIF(Tabelle1[Spalte103],"")-1,""))&lt;0,0,IF(AND(DC4&lt;=TODAY(),DC5&lt;&gt;"Sa",DC5&lt;&gt;"So"),COUNTIF(Tabelle1[Spalte103],"A"),IF(AND(DC5&lt;&gt;"Sa",DC5&lt;&gt;"So"),COUNTIF(Tabelle1[Spalte103],"")-1,"")))</f>
        <v/>
      </c>
      <c r="DD11" s="55">
        <f ca="1">IF(IF(AND(DD4&lt;=TODAY(),DD5&lt;&gt;"Sa",DD5&lt;&gt;"So"),COUNTIF(Tabelle1[Spalte104],"A"),IF(AND(DD5&lt;&gt;"Sa",DD5&lt;&gt;"So"),COUNTIF(Tabelle1[Spalte104],"")-1,""))&lt;0,0,IF(AND(DD4&lt;=TODAY(),DD5&lt;&gt;"Sa",DD5&lt;&gt;"So"),COUNTIF(Tabelle1[Spalte104],"A"),IF(AND(DD5&lt;&gt;"Sa",DD5&lt;&gt;"So"),COUNTIF(Tabelle1[Spalte104],"")-1,"")))</f>
        <v>2</v>
      </c>
      <c r="DE11" s="55">
        <f ca="1">IF(IF(AND(DE4&lt;=TODAY(),DE5&lt;&gt;"Sa",DE5&lt;&gt;"So"),COUNTIF(Tabelle1[Spalte105],"A"),IF(AND(DE5&lt;&gt;"Sa",DE5&lt;&gt;"So"),COUNTIF(Tabelle1[Spalte105],"")-1,""))&lt;0,0,IF(AND(DE4&lt;=TODAY(),DE5&lt;&gt;"Sa",DE5&lt;&gt;"So"),COUNTIF(Tabelle1[Spalte105],"A"),IF(AND(DE5&lt;&gt;"Sa",DE5&lt;&gt;"So"),COUNTIF(Tabelle1[Spalte105],"")-1,"")))</f>
        <v>2</v>
      </c>
      <c r="DF11" s="55">
        <f ca="1">IF(IF(AND(DF4&lt;=TODAY(),DF5&lt;&gt;"Sa",DF5&lt;&gt;"So"),COUNTIF(Tabelle1[Spalte106],"A"),IF(AND(DF5&lt;&gt;"Sa",DF5&lt;&gt;"So"),COUNTIF(Tabelle1[Spalte106],"")-1,""))&lt;0,0,IF(AND(DF4&lt;=TODAY(),DF5&lt;&gt;"Sa",DF5&lt;&gt;"So"),COUNTIF(Tabelle1[Spalte106],"A"),IF(AND(DF5&lt;&gt;"Sa",DF5&lt;&gt;"So"),COUNTIF(Tabelle1[Spalte106],"")-1,"")))</f>
        <v>2</v>
      </c>
      <c r="DG11" s="55">
        <f ca="1">IF(IF(AND(DG4&lt;=TODAY(),DG5&lt;&gt;"Sa",DG5&lt;&gt;"So"),COUNTIF(Tabelle1[Spalte107],"A"),IF(AND(DG5&lt;&gt;"Sa",DG5&lt;&gt;"So"),COUNTIF(Tabelle1[Spalte107],"")-1,""))&lt;0,0,IF(AND(DG4&lt;=TODAY(),DG5&lt;&gt;"Sa",DG5&lt;&gt;"So"),COUNTIF(Tabelle1[Spalte107],"A"),IF(AND(DG5&lt;&gt;"Sa",DG5&lt;&gt;"So"),COUNTIF(Tabelle1[Spalte107],"")-1,"")))</f>
        <v>2</v>
      </c>
      <c r="DH11" s="55">
        <f ca="1">IF(IF(AND(DH4&lt;=TODAY(),DH5&lt;&gt;"Sa",DH5&lt;&gt;"So"),COUNTIF(Tabelle1[Spalte108],"A"),IF(AND(DH5&lt;&gt;"Sa",DH5&lt;&gt;"So"),COUNTIF(Tabelle1[Spalte108],"")-1,""))&lt;0,0,IF(AND(DH4&lt;=TODAY(),DH5&lt;&gt;"Sa",DH5&lt;&gt;"So"),COUNTIF(Tabelle1[Spalte108],"A"),IF(AND(DH5&lt;&gt;"Sa",DH5&lt;&gt;"So"),COUNTIF(Tabelle1[Spalte108],"")-1,"")))</f>
        <v>2</v>
      </c>
      <c r="DI11" s="55" t="str">
        <f ca="1">IF(IF(AND(DI4&lt;=TODAY(),DI5&lt;&gt;"Sa",DI5&lt;&gt;"So"),COUNTIF(Tabelle1[Spalte109],"A"),IF(AND(DI5&lt;&gt;"Sa",DI5&lt;&gt;"So"),COUNTIF(Tabelle1[Spalte109],"")-1,""))&lt;0,0,IF(AND(DI4&lt;=TODAY(),DI5&lt;&gt;"Sa",DI5&lt;&gt;"So"),COUNTIF(Tabelle1[Spalte109],"A"),IF(AND(DI5&lt;&gt;"Sa",DI5&lt;&gt;"So"),COUNTIF(Tabelle1[Spalte109],"")-1,"")))</f>
        <v/>
      </c>
      <c r="DJ11" s="55" t="str">
        <f ca="1">IF(IF(AND(DJ4&lt;=TODAY(),DJ5&lt;&gt;"Sa",DJ5&lt;&gt;"So"),COUNTIF(Tabelle1[Spalte110],"A"),IF(AND(DJ5&lt;&gt;"Sa",DJ5&lt;&gt;"So"),COUNTIF(Tabelle1[Spalte110],"")-1,""))&lt;0,0,IF(AND(DJ4&lt;=TODAY(),DJ5&lt;&gt;"Sa",DJ5&lt;&gt;"So"),COUNTIF(Tabelle1[Spalte110],"A"),IF(AND(DJ5&lt;&gt;"Sa",DJ5&lt;&gt;"So"),COUNTIF(Tabelle1[Spalte110],"")-1,"")))</f>
        <v/>
      </c>
      <c r="DK11" s="55">
        <f ca="1">IF(IF(AND(DK4&lt;=TODAY(),DK5&lt;&gt;"Sa",DK5&lt;&gt;"So"),COUNTIF(Tabelle1[Spalte111],"A"),IF(AND(DK5&lt;&gt;"Sa",DK5&lt;&gt;"So"),COUNTIF(Tabelle1[Spalte111],"")-1,""))&lt;0,0,IF(AND(DK4&lt;=TODAY(),DK5&lt;&gt;"Sa",DK5&lt;&gt;"So"),COUNTIF(Tabelle1[Spalte111],"A"),IF(AND(DK5&lt;&gt;"Sa",DK5&lt;&gt;"So"),COUNTIF(Tabelle1[Spalte111],"")-1,"")))</f>
        <v>2</v>
      </c>
      <c r="DL11" s="55">
        <f ca="1">IF(IF(AND(DL4&lt;=TODAY(),DL5&lt;&gt;"Sa",DL5&lt;&gt;"So"),COUNTIF(Tabelle1[Spalte112],"A"),IF(AND(DL5&lt;&gt;"Sa",DL5&lt;&gt;"So"),COUNTIF(Tabelle1[Spalte112],"")-1,""))&lt;0,0,IF(AND(DL4&lt;=TODAY(),DL5&lt;&gt;"Sa",DL5&lt;&gt;"So"),COUNTIF(Tabelle1[Spalte112],"A"),IF(AND(DL5&lt;&gt;"Sa",DL5&lt;&gt;"So"),COUNTIF(Tabelle1[Spalte112],"")-1,"")))</f>
        <v>2</v>
      </c>
      <c r="DM11" s="55">
        <f ca="1">IF(IF(AND(DM4&lt;=TODAY(),DM5&lt;&gt;"Sa",DM5&lt;&gt;"So"),COUNTIF(Tabelle1[Spalte113],"A"),IF(AND(DM5&lt;&gt;"Sa",DM5&lt;&gt;"So"),COUNTIF(Tabelle1[Spalte113],"")-1,""))&lt;0,0,IF(AND(DM4&lt;=TODAY(),DM5&lt;&gt;"Sa",DM5&lt;&gt;"So"),COUNTIF(Tabelle1[Spalte113],"A"),IF(AND(DM5&lt;&gt;"Sa",DM5&lt;&gt;"So"),COUNTIF(Tabelle1[Spalte113],"")-1,"")))</f>
        <v>2</v>
      </c>
      <c r="DN11" s="55">
        <f ca="1">IF(IF(AND(DN4&lt;=TODAY(),DN5&lt;&gt;"Sa",DN5&lt;&gt;"So"),COUNTIF(Tabelle1[Spalte114],"A"),IF(AND(DN5&lt;&gt;"Sa",DN5&lt;&gt;"So"),COUNTIF(Tabelle1[Spalte114],"")-1,""))&lt;0,0,IF(AND(DN4&lt;=TODAY(),DN5&lt;&gt;"Sa",DN5&lt;&gt;"So"),COUNTIF(Tabelle1[Spalte114],"A"),IF(AND(DN5&lt;&gt;"Sa",DN5&lt;&gt;"So"),COUNTIF(Tabelle1[Spalte114],"")-1,"")))</f>
        <v>2</v>
      </c>
      <c r="DO11" s="55">
        <f ca="1">IF(IF(AND(DO4&lt;=TODAY(),DO5&lt;&gt;"Sa",DO5&lt;&gt;"So"),COUNTIF(Tabelle1[Spalte115],"A"),IF(AND(DO5&lt;&gt;"Sa",DO5&lt;&gt;"So"),COUNTIF(Tabelle1[Spalte115],"")-1,""))&lt;0,0,IF(AND(DO4&lt;=TODAY(),DO5&lt;&gt;"Sa",DO5&lt;&gt;"So"),COUNTIF(Tabelle1[Spalte115],"A"),IF(AND(DO5&lt;&gt;"Sa",DO5&lt;&gt;"So"),COUNTIF(Tabelle1[Spalte115],"")-1,"")))</f>
        <v>2</v>
      </c>
      <c r="DP11" s="55" t="str">
        <f ca="1">IF(IF(AND(DP4&lt;=TODAY(),DP5&lt;&gt;"Sa",DP5&lt;&gt;"So"),COUNTIF(Tabelle1[Spalte116],"A"),IF(AND(DP5&lt;&gt;"Sa",DP5&lt;&gt;"So"),COUNTIF(Tabelle1[Spalte116],"")-1,""))&lt;0,0,IF(AND(DP4&lt;=TODAY(),DP5&lt;&gt;"Sa",DP5&lt;&gt;"So"),COUNTIF(Tabelle1[Spalte116],"A"),IF(AND(DP5&lt;&gt;"Sa",DP5&lt;&gt;"So"),COUNTIF(Tabelle1[Spalte116],"")-1,"")))</f>
        <v/>
      </c>
      <c r="DQ11" s="55" t="str">
        <f ca="1">IF(IF(AND(DQ4&lt;=TODAY(),DQ5&lt;&gt;"Sa",DQ5&lt;&gt;"So"),COUNTIF(Tabelle1[Spalte117],"A"),IF(AND(DQ5&lt;&gt;"Sa",DQ5&lt;&gt;"So"),COUNTIF(Tabelle1[Spalte117],"")-1,""))&lt;0,0,IF(AND(DQ4&lt;=TODAY(),DQ5&lt;&gt;"Sa",DQ5&lt;&gt;"So"),COUNTIF(Tabelle1[Spalte117],"A"),IF(AND(DQ5&lt;&gt;"Sa",DQ5&lt;&gt;"So"),COUNTIF(Tabelle1[Spalte117],"")-1,"")))</f>
        <v/>
      </c>
      <c r="DR11" s="55">
        <f ca="1">IF(IF(AND(DR4&lt;=TODAY(),DR5&lt;&gt;"Sa",DR5&lt;&gt;"So"),COUNTIF(Tabelle1[Spalte118],"A"),IF(AND(DR5&lt;&gt;"Sa",DR5&lt;&gt;"So"),COUNTIF(Tabelle1[Spalte118],"")-1,""))&lt;0,0,IF(AND(DR4&lt;=TODAY(),DR5&lt;&gt;"Sa",DR5&lt;&gt;"So"),COUNTIF(Tabelle1[Spalte118],"A"),IF(AND(DR5&lt;&gt;"Sa",DR5&lt;&gt;"So"),COUNTIF(Tabelle1[Spalte118],"")-1,"")))</f>
        <v>2</v>
      </c>
      <c r="DS11" s="55">
        <f ca="1">IF(IF(AND(DS4&lt;=TODAY(),DS5&lt;&gt;"Sa",DS5&lt;&gt;"So"),COUNTIF(Tabelle1[Spalte119],"A"),IF(AND(DS5&lt;&gt;"Sa",DS5&lt;&gt;"So"),COUNTIF(Tabelle1[Spalte119],"")-1,""))&lt;0,0,IF(AND(DS4&lt;=TODAY(),DS5&lt;&gt;"Sa",DS5&lt;&gt;"So"),COUNTIF(Tabelle1[Spalte119],"A"),IF(AND(DS5&lt;&gt;"Sa",DS5&lt;&gt;"So"),COUNTIF(Tabelle1[Spalte119],"")-1,"")))</f>
        <v>2</v>
      </c>
      <c r="DT11" s="55">
        <f ca="1">IF(IF(AND(DT4&lt;=TODAY(),DT5&lt;&gt;"Sa",DT5&lt;&gt;"So"),COUNTIF(Tabelle1[Spalte120],"A"),IF(AND(DT5&lt;&gt;"Sa",DT5&lt;&gt;"So"),COUNTIF(Tabelle1[Spalte120],"")-1,""))&lt;0,0,IF(AND(DT4&lt;=TODAY(),DT5&lt;&gt;"Sa",DT5&lt;&gt;"So"),COUNTIF(Tabelle1[Spalte120],"A"),IF(AND(DT5&lt;&gt;"Sa",DT5&lt;&gt;"So"),COUNTIF(Tabelle1[Spalte120],"")-1,"")))</f>
        <v>2</v>
      </c>
      <c r="DU11" s="55">
        <f ca="1">IF(IF(AND(DU4&lt;=TODAY(),DU5&lt;&gt;"Sa",DU5&lt;&gt;"So"),COUNTIF(Tabelle1[Spalte121],"A"),IF(AND(DU5&lt;&gt;"Sa",DU5&lt;&gt;"So"),COUNTIF(Tabelle1[Spalte121],"")-1,""))&lt;0,0,IF(AND(DU4&lt;=TODAY(),DU5&lt;&gt;"Sa",DU5&lt;&gt;"So"),COUNTIF(Tabelle1[Spalte121],"A"),IF(AND(DU5&lt;&gt;"Sa",DU5&lt;&gt;"So"),COUNTIF(Tabelle1[Spalte121],"")-1,"")))</f>
        <v>2</v>
      </c>
      <c r="DV11" s="55">
        <f ca="1">IF(IF(AND(DV4&lt;=TODAY(),DV5&lt;&gt;"Sa",DV5&lt;&gt;"So"),COUNTIF(Tabelle1[Spalte122],"A"),IF(AND(DV5&lt;&gt;"Sa",DV5&lt;&gt;"So"),COUNTIF(Tabelle1[Spalte122],"")-1,""))&lt;0,0,IF(AND(DV4&lt;=TODAY(),DV5&lt;&gt;"Sa",DV5&lt;&gt;"So"),COUNTIF(Tabelle1[Spalte122],"A"),IF(AND(DV5&lt;&gt;"Sa",DV5&lt;&gt;"So"),COUNTIF(Tabelle1[Spalte122],"")-1,"")))</f>
        <v>2</v>
      </c>
      <c r="DW11" s="55" t="str">
        <f ca="1">IF(IF(AND(DW4&lt;=TODAY(),DW5&lt;&gt;"Sa",DW5&lt;&gt;"So"),COUNTIF(Tabelle1[Spalte123],"A"),IF(AND(DW5&lt;&gt;"Sa",DW5&lt;&gt;"So"),COUNTIF(Tabelle1[Spalte123],"")-1,""))&lt;0,0,IF(AND(DW4&lt;=TODAY(),DW5&lt;&gt;"Sa",DW5&lt;&gt;"So"),COUNTIF(Tabelle1[Spalte123],"A"),IF(AND(DW5&lt;&gt;"Sa",DW5&lt;&gt;"So"),COUNTIF(Tabelle1[Spalte123],"")-1,"")))</f>
        <v/>
      </c>
      <c r="DX11" s="55" t="str">
        <f ca="1">IF(IF(AND(DX4&lt;=TODAY(),DX5&lt;&gt;"Sa",DX5&lt;&gt;"So"),COUNTIF(Tabelle1[Spalte124],"A"),IF(AND(DX5&lt;&gt;"Sa",DX5&lt;&gt;"So"),COUNTIF(Tabelle1[Spalte124],"")-1,""))&lt;0,0,IF(AND(DX4&lt;=TODAY(),DX5&lt;&gt;"Sa",DX5&lt;&gt;"So"),COUNTIF(Tabelle1[Spalte124],"A"),IF(AND(DX5&lt;&gt;"Sa",DX5&lt;&gt;"So"),COUNTIF(Tabelle1[Spalte124],"")-1,"")))</f>
        <v/>
      </c>
      <c r="DY11" s="55">
        <f ca="1">IF(IF(AND(DY4&lt;=TODAY(),DY5&lt;&gt;"Sa",DY5&lt;&gt;"So"),COUNTIF(Tabelle1[Spalte125],"A"),IF(AND(DY5&lt;&gt;"Sa",DY5&lt;&gt;"So"),COUNTIF(Tabelle1[Spalte125],"")-1,""))&lt;0,0,IF(AND(DY4&lt;=TODAY(),DY5&lt;&gt;"Sa",DY5&lt;&gt;"So"),COUNTIF(Tabelle1[Spalte125],"A"),IF(AND(DY5&lt;&gt;"Sa",DY5&lt;&gt;"So"),COUNTIF(Tabelle1[Spalte125],"")-1,"")))</f>
        <v>2</v>
      </c>
      <c r="DZ11" s="55">
        <f ca="1">IF(IF(AND(DZ4&lt;=TODAY(),DZ5&lt;&gt;"Sa",DZ5&lt;&gt;"So"),COUNTIF(Tabelle1[Spalte126],"A"),IF(AND(DZ5&lt;&gt;"Sa",DZ5&lt;&gt;"So"),COUNTIF(Tabelle1[Spalte126],"")-1,""))&lt;0,0,IF(AND(DZ4&lt;=TODAY(),DZ5&lt;&gt;"Sa",DZ5&lt;&gt;"So"),COUNTIF(Tabelle1[Spalte126],"A"),IF(AND(DZ5&lt;&gt;"Sa",DZ5&lt;&gt;"So"),COUNTIF(Tabelle1[Spalte126],"")-1,"")))</f>
        <v>2</v>
      </c>
      <c r="EA11" s="55">
        <f ca="1">IF(IF(AND(EA4&lt;=TODAY(),EA5&lt;&gt;"Sa",EA5&lt;&gt;"So"),COUNTIF(Tabelle1[Spalte127],"A"),IF(AND(EA5&lt;&gt;"Sa",EA5&lt;&gt;"So"),COUNTIF(Tabelle1[Spalte127],"")-1,""))&lt;0,0,IF(AND(EA4&lt;=TODAY(),EA5&lt;&gt;"Sa",EA5&lt;&gt;"So"),COUNTIF(Tabelle1[Spalte127],"A"),IF(AND(EA5&lt;&gt;"Sa",EA5&lt;&gt;"So"),COUNTIF(Tabelle1[Spalte127],"")-1,"")))</f>
        <v>2</v>
      </c>
      <c r="EB11" s="55">
        <f ca="1">IF(IF(AND(EB4&lt;=TODAY(),EB5&lt;&gt;"Sa",EB5&lt;&gt;"So"),COUNTIF(Tabelle1[Spalte128],"A"),IF(AND(EB5&lt;&gt;"Sa",EB5&lt;&gt;"So"),COUNTIF(Tabelle1[Spalte128],"")-1,""))&lt;0,0,IF(AND(EB4&lt;=TODAY(),EB5&lt;&gt;"Sa",EB5&lt;&gt;"So"),COUNTIF(Tabelle1[Spalte128],"A"),IF(AND(EB5&lt;&gt;"Sa",EB5&lt;&gt;"So"),COUNTIF(Tabelle1[Spalte128],"")-1,"")))</f>
        <v>2</v>
      </c>
      <c r="EC11" s="55">
        <f ca="1">IF(IF(AND(EC4&lt;=TODAY(),EC5&lt;&gt;"Sa",EC5&lt;&gt;"So"),COUNTIF(Tabelle1[Spalte129],"A"),IF(AND(EC5&lt;&gt;"Sa",EC5&lt;&gt;"So"),COUNTIF(Tabelle1[Spalte129],"")-1,""))&lt;0,0,IF(AND(EC4&lt;=TODAY(),EC5&lt;&gt;"Sa",EC5&lt;&gt;"So"),COUNTIF(Tabelle1[Spalte129],"A"),IF(AND(EC5&lt;&gt;"Sa",EC5&lt;&gt;"So"),COUNTIF(Tabelle1[Spalte129],"")-1,"")))</f>
        <v>2</v>
      </c>
      <c r="ED11" s="55" t="str">
        <f ca="1">IF(IF(AND(ED4&lt;=TODAY(),ED5&lt;&gt;"Sa",ED5&lt;&gt;"So"),COUNTIF(Tabelle1[Spalte130],"A"),IF(AND(ED5&lt;&gt;"Sa",ED5&lt;&gt;"So"),COUNTIF(Tabelle1[Spalte130],"")-1,""))&lt;0,0,IF(AND(ED4&lt;=TODAY(),ED5&lt;&gt;"Sa",ED5&lt;&gt;"So"),COUNTIF(Tabelle1[Spalte130],"A"),IF(AND(ED5&lt;&gt;"Sa",ED5&lt;&gt;"So"),COUNTIF(Tabelle1[Spalte130],"")-1,"")))</f>
        <v/>
      </c>
      <c r="EE11" s="55" t="str">
        <f ca="1">IF(IF(AND(EE4&lt;=TODAY(),EE5&lt;&gt;"Sa",EE5&lt;&gt;"So"),COUNTIF(Tabelle1[Spalte131],"A"),IF(AND(EE5&lt;&gt;"Sa",EE5&lt;&gt;"So"),COUNTIF(Tabelle1[Spalte131],"")-1,""))&lt;0,0,IF(AND(EE4&lt;=TODAY(),EE5&lt;&gt;"Sa",EE5&lt;&gt;"So"),COUNTIF(Tabelle1[Spalte131],"A"),IF(AND(EE5&lt;&gt;"Sa",EE5&lt;&gt;"So"),COUNTIF(Tabelle1[Spalte131],"")-1,"")))</f>
        <v/>
      </c>
      <c r="EF11" s="55">
        <f ca="1">IF(IF(AND(EF4&lt;=TODAY(),EF5&lt;&gt;"Sa",EF5&lt;&gt;"So"),COUNTIF(Tabelle1[Spalte132],"A"),IF(AND(EF5&lt;&gt;"Sa",EF5&lt;&gt;"So"),COUNTIF(Tabelle1[Spalte132],"")-1,""))&lt;0,0,IF(AND(EF4&lt;=TODAY(),EF5&lt;&gt;"Sa",EF5&lt;&gt;"So"),COUNTIF(Tabelle1[Spalte132],"A"),IF(AND(EF5&lt;&gt;"Sa",EF5&lt;&gt;"So"),COUNTIF(Tabelle1[Spalte132],"")-1,"")))</f>
        <v>2</v>
      </c>
      <c r="EG11" s="55">
        <f ca="1">IF(IF(AND(EG4&lt;=TODAY(),EG5&lt;&gt;"Sa",EG5&lt;&gt;"So"),COUNTIF(Tabelle1[Spalte133],"A"),IF(AND(EG5&lt;&gt;"Sa",EG5&lt;&gt;"So"),COUNTIF(Tabelle1[Spalte133],"")-1,""))&lt;0,0,IF(AND(EG4&lt;=TODAY(),EG5&lt;&gt;"Sa",EG5&lt;&gt;"So"),COUNTIF(Tabelle1[Spalte133],"A"),IF(AND(EG5&lt;&gt;"Sa",EG5&lt;&gt;"So"),COUNTIF(Tabelle1[Spalte133],"")-1,"")))</f>
        <v>2</v>
      </c>
      <c r="EH11" s="55">
        <f ca="1">IF(IF(AND(EH4&lt;=TODAY(),EH5&lt;&gt;"Sa",EH5&lt;&gt;"So"),COUNTIF(Tabelle1[Spalte134],"A"),IF(AND(EH5&lt;&gt;"Sa",EH5&lt;&gt;"So"),COUNTIF(Tabelle1[Spalte134],"")-1,""))&lt;0,0,IF(AND(EH4&lt;=TODAY(),EH5&lt;&gt;"Sa",EH5&lt;&gt;"So"),COUNTIF(Tabelle1[Spalte134],"A"),IF(AND(EH5&lt;&gt;"Sa",EH5&lt;&gt;"So"),COUNTIF(Tabelle1[Spalte134],"")-1,"")))</f>
        <v>2</v>
      </c>
      <c r="EI11" s="55">
        <f ca="1">IF(IF(AND(EI4&lt;=TODAY(),EI5&lt;&gt;"Sa",EI5&lt;&gt;"So"),COUNTIF(Tabelle1[Spalte135],"A"),IF(AND(EI5&lt;&gt;"Sa",EI5&lt;&gt;"So"),COUNTIF(Tabelle1[Spalte135],"")-1,""))&lt;0,0,IF(AND(EI4&lt;=TODAY(),EI5&lt;&gt;"Sa",EI5&lt;&gt;"So"),COUNTIF(Tabelle1[Spalte135],"A"),IF(AND(EI5&lt;&gt;"Sa",EI5&lt;&gt;"So"),COUNTIF(Tabelle1[Spalte135],"")-1,"")))</f>
        <v>2</v>
      </c>
      <c r="EJ11" s="55">
        <f ca="1">IF(IF(AND(EJ4&lt;=TODAY(),EJ5&lt;&gt;"Sa",EJ5&lt;&gt;"So"),COUNTIF(Tabelle1[Spalte136],"A"),IF(AND(EJ5&lt;&gt;"Sa",EJ5&lt;&gt;"So"),COUNTIF(Tabelle1[Spalte136],"")-1,""))&lt;0,0,IF(AND(EJ4&lt;=TODAY(),EJ5&lt;&gt;"Sa",EJ5&lt;&gt;"So"),COUNTIF(Tabelle1[Spalte136],"A"),IF(AND(EJ5&lt;&gt;"Sa",EJ5&lt;&gt;"So"),COUNTIF(Tabelle1[Spalte136],"")-1,"")))</f>
        <v>2</v>
      </c>
      <c r="EK11" s="55" t="str">
        <f ca="1">IF(IF(AND(EK4&lt;=TODAY(),EK5&lt;&gt;"Sa",EK5&lt;&gt;"So"),COUNTIF(Tabelle1[Spalte137],"A"),IF(AND(EK5&lt;&gt;"Sa",EK5&lt;&gt;"So"),COUNTIF(Tabelle1[Spalte137],"")-1,""))&lt;0,0,IF(AND(EK4&lt;=TODAY(),EK5&lt;&gt;"Sa",EK5&lt;&gt;"So"),COUNTIF(Tabelle1[Spalte137],"A"),IF(AND(EK5&lt;&gt;"Sa",EK5&lt;&gt;"So"),COUNTIF(Tabelle1[Spalte137],"")-1,"")))</f>
        <v/>
      </c>
      <c r="EL11" s="55" t="str">
        <f ca="1">IF(IF(AND(EL4&lt;=TODAY(),EL5&lt;&gt;"Sa",EL5&lt;&gt;"So"),COUNTIF(Tabelle1[Spalte138],"A"),IF(AND(EL5&lt;&gt;"Sa",EL5&lt;&gt;"So"),COUNTIF(Tabelle1[Spalte138],"")-1,""))&lt;0,0,IF(AND(EL4&lt;=TODAY(),EL5&lt;&gt;"Sa",EL5&lt;&gt;"So"),COUNTIF(Tabelle1[Spalte138],"A"),IF(AND(EL5&lt;&gt;"Sa",EL5&lt;&gt;"So"),COUNTIF(Tabelle1[Spalte138],"")-1,"")))</f>
        <v/>
      </c>
      <c r="EM11" s="55">
        <f ca="1">IF(IF(AND(EM4&lt;=TODAY(),EM5&lt;&gt;"Sa",EM5&lt;&gt;"So"),COUNTIF(Tabelle1[Spalte139],"A"),IF(AND(EM5&lt;&gt;"Sa",EM5&lt;&gt;"So"),COUNTIF(Tabelle1[Spalte139],"")-1,""))&lt;0,0,IF(AND(EM4&lt;=TODAY(),EM5&lt;&gt;"Sa",EM5&lt;&gt;"So"),COUNTIF(Tabelle1[Spalte139],"A"),IF(AND(EM5&lt;&gt;"Sa",EM5&lt;&gt;"So"),COUNTIF(Tabelle1[Spalte139],"")-1,"")))</f>
        <v>2</v>
      </c>
      <c r="EN11" s="55">
        <f ca="1">IF(IF(AND(EN4&lt;=TODAY(),EN5&lt;&gt;"Sa",EN5&lt;&gt;"So"),COUNTIF(Tabelle1[Spalte140],"A"),IF(AND(EN5&lt;&gt;"Sa",EN5&lt;&gt;"So"),COUNTIF(Tabelle1[Spalte140],"")-1,""))&lt;0,0,IF(AND(EN4&lt;=TODAY(),EN5&lt;&gt;"Sa",EN5&lt;&gt;"So"),COUNTIF(Tabelle1[Spalte140],"A"),IF(AND(EN5&lt;&gt;"Sa",EN5&lt;&gt;"So"),COUNTIF(Tabelle1[Spalte140],"")-1,"")))</f>
        <v>2</v>
      </c>
      <c r="EO11" s="55">
        <f ca="1">IF(IF(AND(EO4&lt;=TODAY(),EO5&lt;&gt;"Sa",EO5&lt;&gt;"So"),COUNTIF(Tabelle1[Spalte141],"A"),IF(AND(EO5&lt;&gt;"Sa",EO5&lt;&gt;"So"),COUNTIF(Tabelle1[Spalte141],"")-1,""))&lt;0,0,IF(AND(EO4&lt;=TODAY(),EO5&lt;&gt;"Sa",EO5&lt;&gt;"So"),COUNTIF(Tabelle1[Spalte141],"A"),IF(AND(EO5&lt;&gt;"Sa",EO5&lt;&gt;"So"),COUNTIF(Tabelle1[Spalte141],"")-1,"")))</f>
        <v>2</v>
      </c>
      <c r="EP11" s="55">
        <f ca="1">IF(IF(AND(EP4&lt;=TODAY(),EP5&lt;&gt;"Sa",EP5&lt;&gt;"So"),COUNTIF(Tabelle1[Spalte142],"A"),IF(AND(EP5&lt;&gt;"Sa",EP5&lt;&gt;"So"),COUNTIF(Tabelle1[Spalte142],"")-1,""))&lt;0,0,IF(AND(EP4&lt;=TODAY(),EP5&lt;&gt;"Sa",EP5&lt;&gt;"So"),COUNTIF(Tabelle1[Spalte142],"A"),IF(AND(EP5&lt;&gt;"Sa",EP5&lt;&gt;"So"),COUNTIF(Tabelle1[Spalte142],"")-1,"")))</f>
        <v>2</v>
      </c>
      <c r="EQ11" s="55">
        <f ca="1">IF(IF(AND(EQ4&lt;=TODAY(),EQ5&lt;&gt;"Sa",EQ5&lt;&gt;"So"),COUNTIF(Tabelle1[Spalte143],"A"),IF(AND(EQ5&lt;&gt;"Sa",EQ5&lt;&gt;"So"),COUNTIF(Tabelle1[Spalte143],"")-1,""))&lt;0,0,IF(AND(EQ4&lt;=TODAY(),EQ5&lt;&gt;"Sa",EQ5&lt;&gt;"So"),COUNTIF(Tabelle1[Spalte143],"A"),IF(AND(EQ5&lt;&gt;"Sa",EQ5&lt;&gt;"So"),COUNTIF(Tabelle1[Spalte143],"")-1,"")))</f>
        <v>2</v>
      </c>
      <c r="ER11" s="55" t="str">
        <f ca="1">IF(IF(AND(ER4&lt;=TODAY(),ER5&lt;&gt;"Sa",ER5&lt;&gt;"So"),COUNTIF(Tabelle1[Spalte144],"A"),IF(AND(ER5&lt;&gt;"Sa",ER5&lt;&gt;"So"),COUNTIF(Tabelle1[Spalte144],"")-1,""))&lt;0,0,IF(AND(ER4&lt;=TODAY(),ER5&lt;&gt;"Sa",ER5&lt;&gt;"So"),COUNTIF(Tabelle1[Spalte144],"A"),IF(AND(ER5&lt;&gt;"Sa",ER5&lt;&gt;"So"),COUNTIF(Tabelle1[Spalte144],"")-1,"")))</f>
        <v/>
      </c>
      <c r="ES11" s="55" t="str">
        <f ca="1">IF(IF(AND(ES4&lt;=TODAY(),ES5&lt;&gt;"Sa",ES5&lt;&gt;"So"),COUNTIF(Tabelle1[Spalte145],"A"),IF(AND(ES5&lt;&gt;"Sa",ES5&lt;&gt;"So"),COUNTIF(Tabelle1[Spalte145],"")-1,""))&lt;0,0,IF(AND(ES4&lt;=TODAY(),ES5&lt;&gt;"Sa",ES5&lt;&gt;"So"),COUNTIF(Tabelle1[Spalte145],"A"),IF(AND(ES5&lt;&gt;"Sa",ES5&lt;&gt;"So"),COUNTIF(Tabelle1[Spalte145],"")-1,"")))</f>
        <v/>
      </c>
      <c r="ET11" s="55">
        <f ca="1">IF(IF(AND(ET4&lt;=TODAY(),ET5&lt;&gt;"Sa",ET5&lt;&gt;"So"),COUNTIF(Tabelle1[Spalte146],"A"),IF(AND(ET5&lt;&gt;"Sa",ET5&lt;&gt;"So"),COUNTIF(Tabelle1[Spalte146],"")-1,""))&lt;0,0,IF(AND(ET4&lt;=TODAY(),ET5&lt;&gt;"Sa",ET5&lt;&gt;"So"),COUNTIF(Tabelle1[Spalte146],"A"),IF(AND(ET5&lt;&gt;"Sa",ET5&lt;&gt;"So"),COUNTIF(Tabelle1[Spalte146],"")-1,"")))</f>
        <v>2</v>
      </c>
      <c r="EU11" s="55">
        <f ca="1">IF(IF(AND(EU4&lt;=TODAY(),EU5&lt;&gt;"Sa",EU5&lt;&gt;"So"),COUNTIF(Tabelle1[Spalte147],"A"),IF(AND(EU5&lt;&gt;"Sa",EU5&lt;&gt;"So"),COUNTIF(Tabelle1[Spalte147],"")-1,""))&lt;0,0,IF(AND(EU4&lt;=TODAY(),EU5&lt;&gt;"Sa",EU5&lt;&gt;"So"),COUNTIF(Tabelle1[Spalte147],"A"),IF(AND(EU5&lt;&gt;"Sa",EU5&lt;&gt;"So"),COUNTIF(Tabelle1[Spalte147],"")-1,"")))</f>
        <v>2</v>
      </c>
      <c r="EV11" s="55">
        <f ca="1">IF(IF(AND(EV4&lt;=TODAY(),EV5&lt;&gt;"Sa",EV5&lt;&gt;"So"),COUNTIF(Tabelle1[Spalte148],"A"),IF(AND(EV5&lt;&gt;"Sa",EV5&lt;&gt;"So"),COUNTIF(Tabelle1[Spalte148],"")-1,""))&lt;0,0,IF(AND(EV4&lt;=TODAY(),EV5&lt;&gt;"Sa",EV5&lt;&gt;"So"),COUNTIF(Tabelle1[Spalte148],"A"),IF(AND(EV5&lt;&gt;"Sa",EV5&lt;&gt;"So"),COUNTIF(Tabelle1[Spalte148],"")-1,"")))</f>
        <v>2</v>
      </c>
      <c r="EW11" s="55">
        <f ca="1">IF(IF(AND(EW4&lt;=TODAY(),EW5&lt;&gt;"Sa",EW5&lt;&gt;"So"),COUNTIF(Tabelle1[Spalte149],"A"),IF(AND(EW5&lt;&gt;"Sa",EW5&lt;&gt;"So"),COUNTIF(Tabelle1[Spalte149],"")-1,""))&lt;0,0,IF(AND(EW4&lt;=TODAY(),EW5&lt;&gt;"Sa",EW5&lt;&gt;"So"),COUNTIF(Tabelle1[Spalte149],"A"),IF(AND(EW5&lt;&gt;"Sa",EW5&lt;&gt;"So"),COUNTIF(Tabelle1[Spalte149],"")-1,"")))</f>
        <v>2</v>
      </c>
      <c r="EX11" s="55">
        <f ca="1">IF(IF(AND(EX4&lt;=TODAY(),EX5&lt;&gt;"Sa",EX5&lt;&gt;"So"),COUNTIF(Tabelle1[Spalte150],"A"),IF(AND(EX5&lt;&gt;"Sa",EX5&lt;&gt;"So"),COUNTIF(Tabelle1[Spalte150],"")-1,""))&lt;0,0,IF(AND(EX4&lt;=TODAY(),EX5&lt;&gt;"Sa",EX5&lt;&gt;"So"),COUNTIF(Tabelle1[Spalte150],"A"),IF(AND(EX5&lt;&gt;"Sa",EX5&lt;&gt;"So"),COUNTIF(Tabelle1[Spalte150],"")-1,"")))</f>
        <v>2</v>
      </c>
      <c r="EY11" s="55" t="str">
        <f ca="1">IF(IF(AND(EY4&lt;=TODAY(),EY5&lt;&gt;"Sa",EY5&lt;&gt;"So"),COUNTIF(Tabelle1[Spalte151],"A"),IF(AND(EY5&lt;&gt;"Sa",EY5&lt;&gt;"So"),COUNTIF(Tabelle1[Spalte151],"")-1,""))&lt;0,0,IF(AND(EY4&lt;=TODAY(),EY5&lt;&gt;"Sa",EY5&lt;&gt;"So"),COUNTIF(Tabelle1[Spalte151],"A"),IF(AND(EY5&lt;&gt;"Sa",EY5&lt;&gt;"So"),COUNTIF(Tabelle1[Spalte151],"")-1,"")))</f>
        <v/>
      </c>
      <c r="EZ11" s="55" t="str">
        <f ca="1">IF(IF(AND(EZ4&lt;=TODAY(),EZ5&lt;&gt;"Sa",EZ5&lt;&gt;"So"),COUNTIF(Tabelle1[Spalte152],"A"),IF(AND(EZ5&lt;&gt;"Sa",EZ5&lt;&gt;"So"),COUNTIF(Tabelle1[Spalte152],"")-1,""))&lt;0,0,IF(AND(EZ4&lt;=TODAY(),EZ5&lt;&gt;"Sa",EZ5&lt;&gt;"So"),COUNTIF(Tabelle1[Spalte152],"A"),IF(AND(EZ5&lt;&gt;"Sa",EZ5&lt;&gt;"So"),COUNTIF(Tabelle1[Spalte152],"")-1,"")))</f>
        <v/>
      </c>
      <c r="FA11" s="55">
        <f ca="1">IF(IF(AND(FA4&lt;=TODAY(),FA5&lt;&gt;"Sa",FA5&lt;&gt;"So"),COUNTIF(Tabelle1[Spalte153],"A"),IF(AND(FA5&lt;&gt;"Sa",FA5&lt;&gt;"So"),COUNTIF(Tabelle1[Spalte153],"")-1,""))&lt;0,0,IF(AND(FA4&lt;=TODAY(),FA5&lt;&gt;"Sa",FA5&lt;&gt;"So"),COUNTIF(Tabelle1[Spalte153],"A"),IF(AND(FA5&lt;&gt;"Sa",FA5&lt;&gt;"So"),COUNTIF(Tabelle1[Spalte153],"")-1,"")))</f>
        <v>2</v>
      </c>
      <c r="FB11" s="55">
        <f ca="1">IF(IF(AND(FB4&lt;=TODAY(),FB5&lt;&gt;"Sa",FB5&lt;&gt;"So"),COUNTIF(Tabelle1[Spalte154],"A"),IF(AND(FB5&lt;&gt;"Sa",FB5&lt;&gt;"So"),COUNTIF(Tabelle1[Spalte154],"")-1,""))&lt;0,0,IF(AND(FB4&lt;=TODAY(),FB5&lt;&gt;"Sa",FB5&lt;&gt;"So"),COUNTIF(Tabelle1[Spalte154],"A"),IF(AND(FB5&lt;&gt;"Sa",FB5&lt;&gt;"So"),COUNTIF(Tabelle1[Spalte154],"")-1,"")))</f>
        <v>2</v>
      </c>
      <c r="FC11" s="55">
        <f ca="1">IF(IF(AND(FC4&lt;=TODAY(),FC5&lt;&gt;"Sa",FC5&lt;&gt;"So"),COUNTIF(Tabelle1[Spalte155],"A"),IF(AND(FC5&lt;&gt;"Sa",FC5&lt;&gt;"So"),COUNTIF(Tabelle1[Spalte155],"")-1,""))&lt;0,0,IF(AND(FC4&lt;=TODAY(),FC5&lt;&gt;"Sa",FC5&lt;&gt;"So"),COUNTIF(Tabelle1[Spalte155],"A"),IF(AND(FC5&lt;&gt;"Sa",FC5&lt;&gt;"So"),COUNTIF(Tabelle1[Spalte155],"")-1,"")))</f>
        <v>2</v>
      </c>
      <c r="FD11" s="55">
        <f ca="1">IF(IF(AND(FD4&lt;=TODAY(),FD5&lt;&gt;"Sa",FD5&lt;&gt;"So"),COUNTIF(Tabelle1[Spalte156],"A"),IF(AND(FD5&lt;&gt;"Sa",FD5&lt;&gt;"So"),COUNTIF(Tabelle1[Spalte156],"")-1,""))&lt;0,0,IF(AND(FD4&lt;=TODAY(),FD5&lt;&gt;"Sa",FD5&lt;&gt;"So"),COUNTIF(Tabelle1[Spalte156],"A"),IF(AND(FD5&lt;&gt;"Sa",FD5&lt;&gt;"So"),COUNTIF(Tabelle1[Spalte156],"")-1,"")))</f>
        <v>2</v>
      </c>
      <c r="FE11" s="55">
        <f ca="1">IF(IF(AND(FE4&lt;=TODAY(),FE5&lt;&gt;"Sa",FE5&lt;&gt;"So"),COUNTIF(Tabelle1[Spalte157],"A"),IF(AND(FE5&lt;&gt;"Sa",FE5&lt;&gt;"So"),COUNTIF(Tabelle1[Spalte157],"")-1,""))&lt;0,0,IF(AND(FE4&lt;=TODAY(),FE5&lt;&gt;"Sa",FE5&lt;&gt;"So"),COUNTIF(Tabelle1[Spalte157],"A"),IF(AND(FE5&lt;&gt;"Sa",FE5&lt;&gt;"So"),COUNTIF(Tabelle1[Spalte157],"")-1,"")))</f>
        <v>2</v>
      </c>
      <c r="FF11" s="55" t="str">
        <f ca="1">IF(IF(AND(FF4&lt;=TODAY(),FF5&lt;&gt;"Sa",FF5&lt;&gt;"So"),COUNTIF(Tabelle1[Spalte158],"A"),IF(AND(FF5&lt;&gt;"Sa",FF5&lt;&gt;"So"),COUNTIF(Tabelle1[Spalte158],"")-1,""))&lt;0,0,IF(AND(FF4&lt;=TODAY(),FF5&lt;&gt;"Sa",FF5&lt;&gt;"So"),COUNTIF(Tabelle1[Spalte158],"A"),IF(AND(FF5&lt;&gt;"Sa",FF5&lt;&gt;"So"),COUNTIF(Tabelle1[Spalte158],"")-1,"")))</f>
        <v/>
      </c>
      <c r="FG11" s="55" t="str">
        <f ca="1">IF(IF(AND(FG4&lt;=TODAY(),FG5&lt;&gt;"Sa",FG5&lt;&gt;"So"),COUNTIF(Tabelle1[Spalte159],"A"),IF(AND(FG5&lt;&gt;"Sa",FG5&lt;&gt;"So"),COUNTIF(Tabelle1[Spalte159],"")-1,""))&lt;0,0,IF(AND(FG4&lt;=TODAY(),FG5&lt;&gt;"Sa",FG5&lt;&gt;"So"),COUNTIF(Tabelle1[Spalte159],"A"),IF(AND(FG5&lt;&gt;"Sa",FG5&lt;&gt;"So"),COUNTIF(Tabelle1[Spalte159],"")-1,"")))</f>
        <v/>
      </c>
      <c r="FH11" s="55">
        <f ca="1">IF(IF(AND(FH4&lt;=TODAY(),FH5&lt;&gt;"Sa",FH5&lt;&gt;"So"),COUNTIF(Tabelle1[Spalte160],"A"),IF(AND(FH5&lt;&gt;"Sa",FH5&lt;&gt;"So"),COUNTIF(Tabelle1[Spalte160],"")-1,""))&lt;0,0,IF(AND(FH4&lt;=TODAY(),FH5&lt;&gt;"Sa",FH5&lt;&gt;"So"),COUNTIF(Tabelle1[Spalte160],"A"),IF(AND(FH5&lt;&gt;"Sa",FH5&lt;&gt;"So"),COUNTIF(Tabelle1[Spalte160],"")-1,"")))</f>
        <v>2</v>
      </c>
      <c r="FI11" s="55">
        <f ca="1">IF(IF(AND(FI4&lt;=TODAY(),FI5&lt;&gt;"Sa",FI5&lt;&gt;"So"),COUNTIF(Tabelle1[Spalte161],"A"),IF(AND(FI5&lt;&gt;"Sa",FI5&lt;&gt;"So"),COUNTIF(Tabelle1[Spalte161],"")-1,""))&lt;0,0,IF(AND(FI4&lt;=TODAY(),FI5&lt;&gt;"Sa",FI5&lt;&gt;"So"),COUNTIF(Tabelle1[Spalte161],"A"),IF(AND(FI5&lt;&gt;"Sa",FI5&lt;&gt;"So"),COUNTIF(Tabelle1[Spalte161],"")-1,"")))</f>
        <v>2</v>
      </c>
      <c r="FJ11" s="55">
        <f ca="1">IF(IF(AND(FJ4&lt;=TODAY(),FJ5&lt;&gt;"Sa",FJ5&lt;&gt;"So"),COUNTIF(Tabelle1[Spalte162],"A"),IF(AND(FJ5&lt;&gt;"Sa",FJ5&lt;&gt;"So"),COUNTIF(Tabelle1[Spalte162],"")-1,""))&lt;0,0,IF(AND(FJ4&lt;=TODAY(),FJ5&lt;&gt;"Sa",FJ5&lt;&gt;"So"),COUNTIF(Tabelle1[Spalte162],"A"),IF(AND(FJ5&lt;&gt;"Sa",FJ5&lt;&gt;"So"),COUNTIF(Tabelle1[Spalte162],"")-1,"")))</f>
        <v>2</v>
      </c>
      <c r="FK11" s="55">
        <f ca="1">IF(IF(AND(FK4&lt;=TODAY(),FK5&lt;&gt;"Sa",FK5&lt;&gt;"So"),COUNTIF(Tabelle1[Spalte163],"A"),IF(AND(FK5&lt;&gt;"Sa",FK5&lt;&gt;"So"),COUNTIF(Tabelle1[Spalte163],"")-1,""))&lt;0,0,IF(AND(FK4&lt;=TODAY(),FK5&lt;&gt;"Sa",FK5&lt;&gt;"So"),COUNTIF(Tabelle1[Spalte163],"A"),IF(AND(FK5&lt;&gt;"Sa",FK5&lt;&gt;"So"),COUNTIF(Tabelle1[Spalte163],"")-1,"")))</f>
        <v>2</v>
      </c>
      <c r="FL11" s="55">
        <f ca="1">IF(IF(AND(FL4&lt;=TODAY(),FL5&lt;&gt;"Sa",FL5&lt;&gt;"So"),COUNTIF(Tabelle1[Spalte164],"A"),IF(AND(FL5&lt;&gt;"Sa",FL5&lt;&gt;"So"),COUNTIF(Tabelle1[Spalte164],"")-1,""))&lt;0,0,IF(AND(FL4&lt;=TODAY(),FL5&lt;&gt;"Sa",FL5&lt;&gt;"So"),COUNTIF(Tabelle1[Spalte164],"A"),IF(AND(FL5&lt;&gt;"Sa",FL5&lt;&gt;"So"),COUNTIF(Tabelle1[Spalte164],"")-1,"")))</f>
        <v>2</v>
      </c>
      <c r="FM11" s="55" t="str">
        <f ca="1">IF(IF(AND(FM4&lt;=TODAY(),FM5&lt;&gt;"Sa",FM5&lt;&gt;"So"),COUNTIF(Tabelle1[Spalte165],"A"),IF(AND(FM5&lt;&gt;"Sa",FM5&lt;&gt;"So"),COUNTIF(Tabelle1[Spalte165],"")-1,""))&lt;0,0,IF(AND(FM4&lt;=TODAY(),FM5&lt;&gt;"Sa",FM5&lt;&gt;"So"),COUNTIF(Tabelle1[Spalte165],"A"),IF(AND(FM5&lt;&gt;"Sa",FM5&lt;&gt;"So"),COUNTIF(Tabelle1[Spalte165],"")-1,"")))</f>
        <v/>
      </c>
      <c r="FN11" s="55" t="str">
        <f ca="1">IF(IF(AND(FN4&lt;=TODAY(),FN5&lt;&gt;"Sa",FN5&lt;&gt;"So"),COUNTIF(Tabelle1[Spalte166],"A"),IF(AND(FN5&lt;&gt;"Sa",FN5&lt;&gt;"So"),COUNTIF(Tabelle1[Spalte166],"")-1,""))&lt;0,0,IF(AND(FN4&lt;=TODAY(),FN5&lt;&gt;"Sa",FN5&lt;&gt;"So"),COUNTIF(Tabelle1[Spalte166],"A"),IF(AND(FN5&lt;&gt;"Sa",FN5&lt;&gt;"So"),COUNTIF(Tabelle1[Spalte166],"")-1,"")))</f>
        <v/>
      </c>
      <c r="FO11" s="55">
        <f ca="1">IF(IF(AND(FO4&lt;=TODAY(),FO5&lt;&gt;"Sa",FO5&lt;&gt;"So"),COUNTIF(Tabelle1[Spalte167],"A"),IF(AND(FO5&lt;&gt;"Sa",FO5&lt;&gt;"So"),COUNTIF(Tabelle1[Spalte167],"")-1,""))&lt;0,0,IF(AND(FO4&lt;=TODAY(),FO5&lt;&gt;"Sa",FO5&lt;&gt;"So"),COUNTIF(Tabelle1[Spalte167],"A"),IF(AND(FO5&lt;&gt;"Sa",FO5&lt;&gt;"So"),COUNTIF(Tabelle1[Spalte167],"")-1,"")))</f>
        <v>2</v>
      </c>
      <c r="FP11" s="55">
        <f ca="1">IF(IF(AND(FP4&lt;=TODAY(),FP5&lt;&gt;"Sa",FP5&lt;&gt;"So"),COUNTIF(Tabelle1[Spalte168],"A"),IF(AND(FP5&lt;&gt;"Sa",FP5&lt;&gt;"So"),COUNTIF(Tabelle1[Spalte168],"")-1,""))&lt;0,0,IF(AND(FP4&lt;=TODAY(),FP5&lt;&gt;"Sa",FP5&lt;&gt;"So"),COUNTIF(Tabelle1[Spalte168],"A"),IF(AND(FP5&lt;&gt;"Sa",FP5&lt;&gt;"So"),COUNTIF(Tabelle1[Spalte168],"")-1,"")))</f>
        <v>2</v>
      </c>
      <c r="FQ11" s="55">
        <f ca="1">IF(IF(AND(FQ4&lt;=TODAY(),FQ5&lt;&gt;"Sa",FQ5&lt;&gt;"So"),COUNTIF(Tabelle1[Spalte169],"A"),IF(AND(FQ5&lt;&gt;"Sa",FQ5&lt;&gt;"So"),COUNTIF(Tabelle1[Spalte169],"")-1,""))&lt;0,0,IF(AND(FQ4&lt;=TODAY(),FQ5&lt;&gt;"Sa",FQ5&lt;&gt;"So"),COUNTIF(Tabelle1[Spalte169],"A"),IF(AND(FQ5&lt;&gt;"Sa",FQ5&lt;&gt;"So"),COUNTIF(Tabelle1[Spalte169],"")-1,"")))</f>
        <v>2</v>
      </c>
      <c r="FR11" s="55">
        <f ca="1">IF(IF(AND(FR4&lt;=TODAY(),FR5&lt;&gt;"Sa",FR5&lt;&gt;"So"),COUNTIF(Tabelle1[Spalte170],"A"),IF(AND(FR5&lt;&gt;"Sa",FR5&lt;&gt;"So"),COUNTIF(Tabelle1[Spalte170],"")-1,""))&lt;0,0,IF(AND(FR4&lt;=TODAY(),FR5&lt;&gt;"Sa",FR5&lt;&gt;"So"),COUNTIF(Tabelle1[Spalte170],"A"),IF(AND(FR5&lt;&gt;"Sa",FR5&lt;&gt;"So"),COUNTIF(Tabelle1[Spalte170],"")-1,"")))</f>
        <v>2</v>
      </c>
      <c r="FS11" s="55">
        <f ca="1">IF(IF(AND(FS4&lt;=TODAY(),FS5&lt;&gt;"Sa",FS5&lt;&gt;"So"),COUNTIF(Tabelle1[Spalte171],"A"),IF(AND(FS5&lt;&gt;"Sa",FS5&lt;&gt;"So"),COUNTIF(Tabelle1[Spalte171],"")-1,""))&lt;0,0,IF(AND(FS4&lt;=TODAY(),FS5&lt;&gt;"Sa",FS5&lt;&gt;"So"),COUNTIF(Tabelle1[Spalte171],"A"),IF(AND(FS5&lt;&gt;"Sa",FS5&lt;&gt;"So"),COUNTIF(Tabelle1[Spalte171],"")-1,"")))</f>
        <v>2</v>
      </c>
      <c r="FT11" s="55" t="str">
        <f ca="1">IF(IF(AND(FT4&lt;=TODAY(),FT5&lt;&gt;"Sa",FT5&lt;&gt;"So"),COUNTIF(Tabelle1[Spalte172],"A"),IF(AND(FT5&lt;&gt;"Sa",FT5&lt;&gt;"So"),COUNTIF(Tabelle1[Spalte172],"")-1,""))&lt;0,0,IF(AND(FT4&lt;=TODAY(),FT5&lt;&gt;"Sa",FT5&lt;&gt;"So"),COUNTIF(Tabelle1[Spalte172],"A"),IF(AND(FT5&lt;&gt;"Sa",FT5&lt;&gt;"So"),COUNTIF(Tabelle1[Spalte172],"")-1,"")))</f>
        <v/>
      </c>
      <c r="FU11" s="55" t="str">
        <f ca="1">IF(IF(AND(FU4&lt;=TODAY(),FU5&lt;&gt;"Sa",FU5&lt;&gt;"So"),COUNTIF(Tabelle1[Spalte173],"A"),IF(AND(FU5&lt;&gt;"Sa",FU5&lt;&gt;"So"),COUNTIF(Tabelle1[Spalte173],"")-1,""))&lt;0,0,IF(AND(FU4&lt;=TODAY(),FU5&lt;&gt;"Sa",FU5&lt;&gt;"So"),COUNTIF(Tabelle1[Spalte173],"A"),IF(AND(FU5&lt;&gt;"Sa",FU5&lt;&gt;"So"),COUNTIF(Tabelle1[Spalte173],"")-1,"")))</f>
        <v/>
      </c>
      <c r="FV11" s="55">
        <f ca="1">IF(IF(AND(FV4&lt;=TODAY(),FV5&lt;&gt;"Sa",FV5&lt;&gt;"So"),COUNTIF(Tabelle1[Spalte174],"A"),IF(AND(FV5&lt;&gt;"Sa",FV5&lt;&gt;"So"),COUNTIF(Tabelle1[Spalte174],"")-1,""))&lt;0,0,IF(AND(FV4&lt;=TODAY(),FV5&lt;&gt;"Sa",FV5&lt;&gt;"So"),COUNTIF(Tabelle1[Spalte174],"A"),IF(AND(FV5&lt;&gt;"Sa",FV5&lt;&gt;"So"),COUNTIF(Tabelle1[Spalte174],"")-1,"")))</f>
        <v>2</v>
      </c>
      <c r="FW11" s="55">
        <f ca="1">IF(IF(AND(FW4&lt;=TODAY(),FW5&lt;&gt;"Sa",FW5&lt;&gt;"So"),COUNTIF(Tabelle1[Spalte175],"A"),IF(AND(FW5&lt;&gt;"Sa",FW5&lt;&gt;"So"),COUNTIF(Tabelle1[Spalte175],"")-1,""))&lt;0,0,IF(AND(FW4&lt;=TODAY(),FW5&lt;&gt;"Sa",FW5&lt;&gt;"So"),COUNTIF(Tabelle1[Spalte175],"A"),IF(AND(FW5&lt;&gt;"Sa",FW5&lt;&gt;"So"),COUNTIF(Tabelle1[Spalte175],"")-1,"")))</f>
        <v>2</v>
      </c>
      <c r="FX11" s="55">
        <f ca="1">IF(IF(AND(FX4&lt;=TODAY(),FX5&lt;&gt;"Sa",FX5&lt;&gt;"So"),COUNTIF(Tabelle1[Spalte176],"A"),IF(AND(FX5&lt;&gt;"Sa",FX5&lt;&gt;"So"),COUNTIF(Tabelle1[Spalte176],"")-1,""))&lt;0,0,IF(AND(FX4&lt;=TODAY(),FX5&lt;&gt;"Sa",FX5&lt;&gt;"So"),COUNTIF(Tabelle1[Spalte176],"A"),IF(AND(FX5&lt;&gt;"Sa",FX5&lt;&gt;"So"),COUNTIF(Tabelle1[Spalte176],"")-1,"")))</f>
        <v>2</v>
      </c>
      <c r="FY11" s="55">
        <f ca="1">IF(IF(AND(FY4&lt;=TODAY(),FY5&lt;&gt;"Sa",FY5&lt;&gt;"So"),COUNTIF(Tabelle1[Spalte177],"A"),IF(AND(FY5&lt;&gt;"Sa",FY5&lt;&gt;"So"),COUNTIF(Tabelle1[Spalte177],"")-1,""))&lt;0,0,IF(AND(FY4&lt;=TODAY(),FY5&lt;&gt;"Sa",FY5&lt;&gt;"So"),COUNTIF(Tabelle1[Spalte177],"A"),IF(AND(FY5&lt;&gt;"Sa",FY5&lt;&gt;"So"),COUNTIF(Tabelle1[Spalte177],"")-1,"")))</f>
        <v>2</v>
      </c>
      <c r="FZ11" s="55">
        <f ca="1">IF(IF(AND(FZ4&lt;=TODAY(),FZ5&lt;&gt;"Sa",FZ5&lt;&gt;"So"),COUNTIF(Tabelle1[Spalte178],"A"),IF(AND(FZ5&lt;&gt;"Sa",FZ5&lt;&gt;"So"),COUNTIF(Tabelle1[Spalte178],"")-1,""))&lt;0,0,IF(AND(FZ4&lt;=TODAY(),FZ5&lt;&gt;"Sa",FZ5&lt;&gt;"So"),COUNTIF(Tabelle1[Spalte178],"A"),IF(AND(FZ5&lt;&gt;"Sa",FZ5&lt;&gt;"So"),COUNTIF(Tabelle1[Spalte178],"")-1,"")))</f>
        <v>2</v>
      </c>
      <c r="GA11" s="55" t="str">
        <f ca="1">IF(IF(AND(GA4&lt;=TODAY(),GA5&lt;&gt;"Sa",GA5&lt;&gt;"So"),COUNTIF(Tabelle1[Spalte179],"A"),IF(AND(GA5&lt;&gt;"Sa",GA5&lt;&gt;"So"),COUNTIF(Tabelle1[Spalte179],"")-1,""))&lt;0,0,IF(AND(GA4&lt;=TODAY(),GA5&lt;&gt;"Sa",GA5&lt;&gt;"So"),COUNTIF(Tabelle1[Spalte179],"A"),IF(AND(GA5&lt;&gt;"Sa",GA5&lt;&gt;"So"),COUNTIF(Tabelle1[Spalte179],"")-1,"")))</f>
        <v/>
      </c>
      <c r="GB11" s="55" t="str">
        <f ca="1">IF(IF(AND(GB4&lt;=TODAY(),GB5&lt;&gt;"Sa",GB5&lt;&gt;"So"),COUNTIF(Tabelle1[Spalte180],"A"),IF(AND(GB5&lt;&gt;"Sa",GB5&lt;&gt;"So"),COUNTIF(Tabelle1[Spalte180],"")-1,""))&lt;0,0,IF(AND(GB4&lt;=TODAY(),GB5&lt;&gt;"Sa",GB5&lt;&gt;"So"),COUNTIF(Tabelle1[Spalte180],"A"),IF(AND(GB5&lt;&gt;"Sa",GB5&lt;&gt;"So"),COUNTIF(Tabelle1[Spalte180],"")-1,"")))</f>
        <v/>
      </c>
      <c r="GC11" s="55">
        <f ca="1">IF(IF(AND(GC4&lt;=TODAY(),GC5&lt;&gt;"Sa",GC5&lt;&gt;"So"),COUNTIF(Tabelle1[Spalte181],"A"),IF(AND(GC5&lt;&gt;"Sa",GC5&lt;&gt;"So"),COUNTIF(Tabelle1[Spalte181],"")-1,""))&lt;0,0,IF(AND(GC4&lt;=TODAY(),GC5&lt;&gt;"Sa",GC5&lt;&gt;"So"),COUNTIF(Tabelle1[Spalte181],"A"),IF(AND(GC5&lt;&gt;"Sa",GC5&lt;&gt;"So"),COUNTIF(Tabelle1[Spalte181],"")-1,"")))</f>
        <v>2</v>
      </c>
      <c r="GD11" s="55">
        <f ca="1">IF(IF(AND(GD4&lt;=TODAY(),GD5&lt;&gt;"Sa",GD5&lt;&gt;"So"),COUNTIF(Tabelle1[Spalte182],"A"),IF(AND(GD5&lt;&gt;"Sa",GD5&lt;&gt;"So"),COUNTIF(Tabelle1[Spalte182],"")-1,""))&lt;0,0,IF(AND(GD4&lt;=TODAY(),GD5&lt;&gt;"Sa",GD5&lt;&gt;"So"),COUNTIF(Tabelle1[Spalte182],"A"),IF(AND(GD5&lt;&gt;"Sa",GD5&lt;&gt;"So"),COUNTIF(Tabelle1[Spalte182],"")-1,"")))</f>
        <v>2</v>
      </c>
      <c r="GE11" s="55">
        <f ca="1">IF(IF(AND(GE4&lt;=TODAY(),GE5&lt;&gt;"Sa",GE5&lt;&gt;"So"),COUNTIF(Tabelle1[Spalte183],"A"),IF(AND(GE5&lt;&gt;"Sa",GE5&lt;&gt;"So"),COUNTIF(Tabelle1[Spalte183],"")-1,""))&lt;0,0,IF(AND(GE4&lt;=TODAY(),GE5&lt;&gt;"Sa",GE5&lt;&gt;"So"),COUNTIF(Tabelle1[Spalte183],"A"),IF(AND(GE5&lt;&gt;"Sa",GE5&lt;&gt;"So"),COUNTIF(Tabelle1[Spalte183],"")-1,"")))</f>
        <v>2</v>
      </c>
      <c r="GF11" s="55">
        <f ca="1">IF(IF(AND(GF4&lt;=TODAY(),GF5&lt;&gt;"Sa",GF5&lt;&gt;"So"),COUNTIF(Tabelle1[Spalte184],"A"),IF(AND(GF5&lt;&gt;"Sa",GF5&lt;&gt;"So"),COUNTIF(Tabelle1[Spalte184],"")-1,""))&lt;0,0,IF(AND(GF4&lt;=TODAY(),GF5&lt;&gt;"Sa",GF5&lt;&gt;"So"),COUNTIF(Tabelle1[Spalte184],"A"),IF(AND(GF5&lt;&gt;"Sa",GF5&lt;&gt;"So"),COUNTIF(Tabelle1[Spalte184],"")-1,"")))</f>
        <v>2</v>
      </c>
      <c r="GG11" s="55">
        <f ca="1">IF(IF(AND(GG4&lt;=TODAY(),GG5&lt;&gt;"Sa",GG5&lt;&gt;"So"),COUNTIF(Tabelle1[Spalte185],"A"),IF(AND(GG5&lt;&gt;"Sa",GG5&lt;&gt;"So"),COUNTIF(Tabelle1[Spalte185],"")-1,""))&lt;0,0,IF(AND(GG4&lt;=TODAY(),GG5&lt;&gt;"Sa",GG5&lt;&gt;"So"),COUNTIF(Tabelle1[Spalte185],"A"),IF(AND(GG5&lt;&gt;"Sa",GG5&lt;&gt;"So"),COUNTIF(Tabelle1[Spalte185],"")-1,"")))</f>
        <v>2</v>
      </c>
      <c r="GH11" s="55" t="str">
        <f ca="1">IF(IF(AND(GH4&lt;=TODAY(),GH5&lt;&gt;"Sa",GH5&lt;&gt;"So"),COUNTIF(Tabelle1[Spalte186],"A"),IF(AND(GH5&lt;&gt;"Sa",GH5&lt;&gt;"So"),COUNTIF(Tabelle1[Spalte186],"")-1,""))&lt;0,0,IF(AND(GH4&lt;=TODAY(),GH5&lt;&gt;"Sa",GH5&lt;&gt;"So"),COUNTIF(Tabelle1[Spalte186],"A"),IF(AND(GH5&lt;&gt;"Sa",GH5&lt;&gt;"So"),COUNTIF(Tabelle1[Spalte186],"")-1,"")))</f>
        <v/>
      </c>
      <c r="GI11" s="55" t="str">
        <f ca="1">IF(IF(AND(GI4&lt;=TODAY(),GI5&lt;&gt;"Sa",GI5&lt;&gt;"So"),COUNTIF(Tabelle1[Spalte187],"A"),IF(AND(GI5&lt;&gt;"Sa",GI5&lt;&gt;"So"),COUNTIF(Tabelle1[Spalte187],"")-1,""))&lt;0,0,IF(AND(GI4&lt;=TODAY(),GI5&lt;&gt;"Sa",GI5&lt;&gt;"So"),COUNTIF(Tabelle1[Spalte187],"A"),IF(AND(GI5&lt;&gt;"Sa",GI5&lt;&gt;"So"),COUNTIF(Tabelle1[Spalte187],"")-1,"")))</f>
        <v/>
      </c>
      <c r="GJ11" s="55">
        <f ca="1">IF(IF(AND(GJ4&lt;=TODAY(),GJ5&lt;&gt;"Sa",GJ5&lt;&gt;"So"),COUNTIF(Tabelle1[Spalte188],"A"),IF(AND(GJ5&lt;&gt;"Sa",GJ5&lt;&gt;"So"),COUNTIF(Tabelle1[Spalte188],"")-1,""))&lt;0,0,IF(AND(GJ4&lt;=TODAY(),GJ5&lt;&gt;"Sa",GJ5&lt;&gt;"So"),COUNTIF(Tabelle1[Spalte188],"A"),IF(AND(GJ5&lt;&gt;"Sa",GJ5&lt;&gt;"So"),COUNTIF(Tabelle1[Spalte188],"")-1,"")))</f>
        <v>2</v>
      </c>
      <c r="GK11" s="55">
        <f ca="1">IF(IF(AND(GK4&lt;=TODAY(),GK5&lt;&gt;"Sa",GK5&lt;&gt;"So"),COUNTIF(Tabelle1[Spalte189],"A"),IF(AND(GK5&lt;&gt;"Sa",GK5&lt;&gt;"So"),COUNTIF(Tabelle1[Spalte189],"")-1,""))&lt;0,0,IF(AND(GK4&lt;=TODAY(),GK5&lt;&gt;"Sa",GK5&lt;&gt;"So"),COUNTIF(Tabelle1[Spalte189],"A"),IF(AND(GK5&lt;&gt;"Sa",GK5&lt;&gt;"So"),COUNTIF(Tabelle1[Spalte189],"")-1,"")))</f>
        <v>2</v>
      </c>
      <c r="GL11" s="55">
        <f ca="1">IF(IF(AND(GL4&lt;=TODAY(),GL5&lt;&gt;"Sa",GL5&lt;&gt;"So"),COUNTIF(Tabelle1[Spalte190],"A"),IF(AND(GL5&lt;&gt;"Sa",GL5&lt;&gt;"So"),COUNTIF(Tabelle1[Spalte190],"")-1,""))&lt;0,0,IF(AND(GL4&lt;=TODAY(),GL5&lt;&gt;"Sa",GL5&lt;&gt;"So"),COUNTIF(Tabelle1[Spalte190],"A"),IF(AND(GL5&lt;&gt;"Sa",GL5&lt;&gt;"So"),COUNTIF(Tabelle1[Spalte190],"")-1,"")))</f>
        <v>2</v>
      </c>
      <c r="GM11" s="55">
        <f ca="1">IF(IF(AND(GM4&lt;=TODAY(),GM5&lt;&gt;"Sa",GM5&lt;&gt;"So"),COUNTIF(Tabelle1[Spalte191],"A"),IF(AND(GM5&lt;&gt;"Sa",GM5&lt;&gt;"So"),COUNTIF(Tabelle1[Spalte191],"")-1,""))&lt;0,0,IF(AND(GM4&lt;=TODAY(),GM5&lt;&gt;"Sa",GM5&lt;&gt;"So"),COUNTIF(Tabelle1[Spalte191],"A"),IF(AND(GM5&lt;&gt;"Sa",GM5&lt;&gt;"So"),COUNTIF(Tabelle1[Spalte191],"")-1,"")))</f>
        <v>2</v>
      </c>
      <c r="GN11" s="55">
        <f ca="1">IF(IF(AND(GN4&lt;=TODAY(),GN5&lt;&gt;"Sa",GN5&lt;&gt;"So"),COUNTIF(Tabelle1[Spalte192],"A"),IF(AND(GN5&lt;&gt;"Sa",GN5&lt;&gt;"So"),COUNTIF(Tabelle1[Spalte192],"")-1,""))&lt;0,0,IF(AND(GN4&lt;=TODAY(),GN5&lt;&gt;"Sa",GN5&lt;&gt;"So"),COUNTIF(Tabelle1[Spalte192],"A"),IF(AND(GN5&lt;&gt;"Sa",GN5&lt;&gt;"So"),COUNTIF(Tabelle1[Spalte192],"")-1,"")))</f>
        <v>2</v>
      </c>
      <c r="GO11" s="55" t="str">
        <f ca="1">IF(IF(AND(GO4&lt;=TODAY(),GO5&lt;&gt;"Sa",GO5&lt;&gt;"So"),COUNTIF(Tabelle1[Spalte193],"A"),IF(AND(GO5&lt;&gt;"Sa",GO5&lt;&gt;"So"),COUNTIF(Tabelle1[Spalte193],"")-1,""))&lt;0,0,IF(AND(GO4&lt;=TODAY(),GO5&lt;&gt;"Sa",GO5&lt;&gt;"So"),COUNTIF(Tabelle1[Spalte193],"A"),IF(AND(GO5&lt;&gt;"Sa",GO5&lt;&gt;"So"),COUNTIF(Tabelle1[Spalte193],"")-1,"")))</f>
        <v/>
      </c>
      <c r="GP11" s="55" t="str">
        <f ca="1">IF(IF(AND(GP4&lt;=TODAY(),GP5&lt;&gt;"Sa",GP5&lt;&gt;"So"),COUNTIF(Tabelle1[Spalte194],"A"),IF(AND(GP5&lt;&gt;"Sa",GP5&lt;&gt;"So"),COUNTIF(Tabelle1[Spalte194],"")-1,""))&lt;0,0,IF(AND(GP4&lt;=TODAY(),GP5&lt;&gt;"Sa",GP5&lt;&gt;"So"),COUNTIF(Tabelle1[Spalte194],"A"),IF(AND(GP5&lt;&gt;"Sa",GP5&lt;&gt;"So"),COUNTIF(Tabelle1[Spalte194],"")-1,"")))</f>
        <v/>
      </c>
      <c r="GQ11" s="55">
        <f ca="1">IF(IF(AND(GQ4&lt;=TODAY(),GQ5&lt;&gt;"Sa",GQ5&lt;&gt;"So"),COUNTIF(Tabelle1[Spalte195],"A"),IF(AND(GQ5&lt;&gt;"Sa",GQ5&lt;&gt;"So"),COUNTIF(Tabelle1[Spalte195],"")-1,""))&lt;0,0,IF(AND(GQ4&lt;=TODAY(),GQ5&lt;&gt;"Sa",GQ5&lt;&gt;"So"),COUNTIF(Tabelle1[Spalte195],"A"),IF(AND(GQ5&lt;&gt;"Sa",GQ5&lt;&gt;"So"),COUNTIF(Tabelle1[Spalte195],"")-1,"")))</f>
        <v>2</v>
      </c>
      <c r="GR11" s="55">
        <f ca="1">IF(IF(AND(GR4&lt;=TODAY(),GR5&lt;&gt;"Sa",GR5&lt;&gt;"So"),COUNTIF(Tabelle1[Spalte196],"A"),IF(AND(GR5&lt;&gt;"Sa",GR5&lt;&gt;"So"),COUNTIF(Tabelle1[Spalte196],"")-1,""))&lt;0,0,IF(AND(GR4&lt;=TODAY(),GR5&lt;&gt;"Sa",GR5&lt;&gt;"So"),COUNTIF(Tabelle1[Spalte196],"A"),IF(AND(GR5&lt;&gt;"Sa",GR5&lt;&gt;"So"),COUNTIF(Tabelle1[Spalte196],"")-1,"")))</f>
        <v>2</v>
      </c>
      <c r="GS11" s="55">
        <f ca="1">IF(IF(AND(GS4&lt;=TODAY(),GS5&lt;&gt;"Sa",GS5&lt;&gt;"So"),COUNTIF(Tabelle1[Spalte197],"A"),IF(AND(GS5&lt;&gt;"Sa",GS5&lt;&gt;"So"),COUNTIF(Tabelle1[Spalte197],"")-1,""))&lt;0,0,IF(AND(GS4&lt;=TODAY(),GS5&lt;&gt;"Sa",GS5&lt;&gt;"So"),COUNTIF(Tabelle1[Spalte197],"A"),IF(AND(GS5&lt;&gt;"Sa",GS5&lt;&gt;"So"),COUNTIF(Tabelle1[Spalte197],"")-1,"")))</f>
        <v>2</v>
      </c>
      <c r="GT11" s="55">
        <f ca="1">IF(IF(AND(GT4&lt;=TODAY(),GT5&lt;&gt;"Sa",GT5&lt;&gt;"So"),COUNTIF(Tabelle1[Spalte198],"A"),IF(AND(GT5&lt;&gt;"Sa",GT5&lt;&gt;"So"),COUNTIF(Tabelle1[Spalte198],"")-1,""))&lt;0,0,IF(AND(GT4&lt;=TODAY(),GT5&lt;&gt;"Sa",GT5&lt;&gt;"So"),COUNTIF(Tabelle1[Spalte198],"A"),IF(AND(GT5&lt;&gt;"Sa",GT5&lt;&gt;"So"),COUNTIF(Tabelle1[Spalte198],"")-1,"")))</f>
        <v>2</v>
      </c>
      <c r="GU11" s="55">
        <f ca="1">IF(IF(AND(U4&lt;=TODAY(),U5&lt;&gt;"Sa",U5&lt;&gt;"So"),COUNTIF(Tabelle1[Spalte199],"A"),IF(AND(U5&lt;&gt;"Sa",U5&lt;&gt;"So"),COUNTIF(Tabelle1[Spalte199],"")-1,""))&lt;0,0,IF(AND(U4&lt;=TODAY(),U5&lt;&gt;"Sa",U5&lt;&gt;"So"),COUNTIF(Tabelle1[Spalte199],"A"),IF(AND(U5&lt;&gt;"Sa",U5&lt;&gt;"So"),COUNTIF(Tabelle1[Spalte199],"")-1,"")))</f>
        <v>2</v>
      </c>
      <c r="GV11" s="55" t="str">
        <f ca="1">IF(IF(AND(GV4&lt;=TODAY(),GV5&lt;&gt;"Sa",GV5&lt;&gt;"So"),COUNTIF(Tabelle1[Spalte200],"A"),IF(AND(GV5&lt;&gt;"Sa",GV5&lt;&gt;"So"),COUNTIF(Tabelle1[Spalte200],"")-1,""))&lt;0,0,IF(AND(GV4&lt;=TODAY(),GV5&lt;&gt;"Sa",GV5&lt;&gt;"So"),COUNTIF(Tabelle1[Spalte200],"A"),IF(AND(GV5&lt;&gt;"Sa",GV5&lt;&gt;"So"),COUNTIF(Tabelle1[Spalte200],"")-1,"")))</f>
        <v/>
      </c>
      <c r="GW11" s="55" t="str">
        <f ca="1">IF(IF(AND(GW4&lt;=TODAY(),GW5&lt;&gt;"Sa",GW5&lt;&gt;"So"),COUNTIF(Tabelle1[Spalte201],"A"),IF(AND(GW5&lt;&gt;"Sa",GW5&lt;&gt;"So"),COUNTIF(Tabelle1[Spalte201],"")-1,""))&lt;0,0,IF(AND(GW4&lt;=TODAY(),GW5&lt;&gt;"Sa",GW5&lt;&gt;"So"),COUNTIF(Tabelle1[Spalte201],"A"),IF(AND(GW5&lt;&gt;"Sa",GW5&lt;&gt;"So"),COUNTIF(Tabelle1[Spalte201],"")-1,"")))</f>
        <v/>
      </c>
      <c r="GX11" s="55">
        <f ca="1">IF(IF(AND(GX4&lt;=TODAY(),GX5&lt;&gt;"Sa",GX5&lt;&gt;"So"),COUNTIF(Tabelle1[Spalte202],"A"),IF(AND(GX5&lt;&gt;"Sa",GX5&lt;&gt;"So"),COUNTIF(Tabelle1[Spalte202],"")-1,""))&lt;0,0,IF(AND(GX4&lt;=TODAY(),GX5&lt;&gt;"Sa",GX5&lt;&gt;"So"),COUNTIF(Tabelle1[Spalte202],"A"),IF(AND(GX5&lt;&gt;"Sa",GX5&lt;&gt;"So"),COUNTIF(Tabelle1[Spalte202],"")-1,"")))</f>
        <v>2</v>
      </c>
      <c r="GY11" s="55">
        <f ca="1">IF(IF(AND(GY4&lt;=TODAY(),GY5&lt;&gt;"Sa",GY5&lt;&gt;"So"),COUNTIF(Tabelle1[Spalte203],"A"),IF(AND(GY5&lt;&gt;"Sa",GY5&lt;&gt;"So"),COUNTIF(Tabelle1[Spalte203],"")-1,""))&lt;0,0,IF(AND(GY4&lt;=TODAY(),GY5&lt;&gt;"Sa",GY5&lt;&gt;"So"),COUNTIF(Tabelle1[Spalte203],"A"),IF(AND(GY5&lt;&gt;"Sa",GY5&lt;&gt;"So"),COUNTIF(Tabelle1[Spalte203],"")-1,"")))</f>
        <v>2</v>
      </c>
      <c r="GZ11" s="55">
        <f ca="1">IF(IF(AND(GZ4&lt;=TODAY(),GZ5&lt;&gt;"Sa",GZ5&lt;&gt;"So"),COUNTIF(Tabelle1[Spalte204],"A"),IF(AND(GZ5&lt;&gt;"Sa",GZ5&lt;&gt;"So"),COUNTIF(Tabelle1[Spalte204],"")-1,""))&lt;0,0,IF(AND(GZ4&lt;=TODAY(),GZ5&lt;&gt;"Sa",GZ5&lt;&gt;"So"),COUNTIF(Tabelle1[Spalte204],"A"),IF(AND(GZ5&lt;&gt;"Sa",GZ5&lt;&gt;"So"),COUNTIF(Tabelle1[Spalte204],"")-1,"")))</f>
        <v>2</v>
      </c>
      <c r="HA11" s="55">
        <f ca="1">IF(IF(AND(HA4&lt;=TODAY(),HA5&lt;&gt;"Sa",HA5&lt;&gt;"So"),COUNTIF(Tabelle1[Spalte205],"A"),IF(AND(HA5&lt;&gt;"Sa",HA5&lt;&gt;"So"),COUNTIF(Tabelle1[Spalte205],"")-1,""))&lt;0,0,IF(AND(HA4&lt;=TODAY(),HA5&lt;&gt;"Sa",HA5&lt;&gt;"So"),COUNTIF(Tabelle1[Spalte205],"A"),IF(AND(HA5&lt;&gt;"Sa",HA5&lt;&gt;"So"),COUNTIF(Tabelle1[Spalte205],"")-1,"")))</f>
        <v>2</v>
      </c>
      <c r="HB11" s="55">
        <f ca="1">IF(IF(AND(HB4&lt;=TODAY(),HB5&lt;&gt;"Sa",HB5&lt;&gt;"So"),COUNTIF(Tabelle1[Spalte206],"A"),IF(AND(HB5&lt;&gt;"Sa",HB5&lt;&gt;"So"),COUNTIF(Tabelle1[Spalte206],"")-1,""))&lt;0,0,IF(AND(HB4&lt;=TODAY(),HB5&lt;&gt;"Sa",HB5&lt;&gt;"So"),COUNTIF(Tabelle1[Spalte206],"A"),IF(AND(HB5&lt;&gt;"Sa",HB5&lt;&gt;"So"),COUNTIF(Tabelle1[Spalte206],"")-1,"")))</f>
        <v>2</v>
      </c>
      <c r="HC11" s="55" t="str">
        <f ca="1">IF(IF(AND(HC4&lt;=TODAY(),HC5&lt;&gt;"Sa",HC5&lt;&gt;"So"),COUNTIF(Tabelle1[Spalte207],"A"),IF(AND(HC5&lt;&gt;"Sa",HC5&lt;&gt;"So"),COUNTIF(Tabelle1[Spalte207],"")-1,""))&lt;0,0,IF(AND(HC4&lt;=TODAY(),HC5&lt;&gt;"Sa",HC5&lt;&gt;"So"),COUNTIF(Tabelle1[Spalte207],"A"),IF(AND(HC5&lt;&gt;"Sa",HC5&lt;&gt;"So"),COUNTIF(Tabelle1[Spalte207],"")-1,"")))</f>
        <v/>
      </c>
      <c r="HD11" s="55" t="str">
        <f ca="1">IF(IF(AND(HD4&lt;=TODAY(),HD5&lt;&gt;"Sa",HD5&lt;&gt;"So"),COUNTIF(Tabelle1[Spalte208],"A"),IF(AND(HD5&lt;&gt;"Sa",HD5&lt;&gt;"So"),COUNTIF(Tabelle1[Spalte208],"")-1,""))&lt;0,0,IF(AND(HD4&lt;=TODAY(),HD5&lt;&gt;"Sa",HD5&lt;&gt;"So"),COUNTIF(Tabelle1[Spalte208],"A"),IF(AND(HD5&lt;&gt;"Sa",HD5&lt;&gt;"So"),COUNTIF(Tabelle1[Spalte208],"")-1,"")))</f>
        <v/>
      </c>
      <c r="HE11" s="55">
        <f ca="1">IF(IF(AND(HE4&lt;=TODAY(),HE5&lt;&gt;"Sa",HE5&lt;&gt;"So"),COUNTIF(Tabelle1[Spalte209],"A"),IF(AND(HE5&lt;&gt;"Sa",HE5&lt;&gt;"So"),COUNTIF(Tabelle1[Spalte209],"")-1,""))&lt;0,0,IF(AND(HE4&lt;=TODAY(),HE5&lt;&gt;"Sa",HE5&lt;&gt;"So"),COUNTIF(Tabelle1[Spalte209],"A"),IF(AND(HE5&lt;&gt;"Sa",HE5&lt;&gt;"So"),COUNTIF(Tabelle1[Spalte209],"")-1,"")))</f>
        <v>2</v>
      </c>
      <c r="HF11" s="55">
        <f ca="1">IF(IF(AND(HF4&lt;=TODAY(),HF5&lt;&gt;"Sa",HF5&lt;&gt;"So"),COUNTIF(Tabelle1[Spalte210],"A"),IF(AND(HF5&lt;&gt;"Sa",HF5&lt;&gt;"So"),COUNTIF(Tabelle1[Spalte210],"")-1,""))&lt;0,0,IF(AND(HF4&lt;=TODAY(),HF5&lt;&gt;"Sa",HF5&lt;&gt;"So"),COUNTIF(Tabelle1[Spalte210],"A"),IF(AND(HF5&lt;&gt;"Sa",HF5&lt;&gt;"So"),COUNTIF(Tabelle1[Spalte210],"")-1,"")))</f>
        <v>2</v>
      </c>
      <c r="HG11" s="55">
        <f ca="1">IF(IF(AND(HG4&lt;=TODAY(),HG5&lt;&gt;"Sa",HG5&lt;&gt;"So"),COUNTIF(Tabelle1[Spalte211],"A"),IF(AND(HG5&lt;&gt;"Sa",HG5&lt;&gt;"So"),COUNTIF(Tabelle1[Spalte211],"")-1,""))&lt;0,0,IF(AND(HG4&lt;=TODAY(),HG5&lt;&gt;"Sa",HG5&lt;&gt;"So"),COUNTIF(Tabelle1[Spalte211],"A"),IF(AND(HG5&lt;&gt;"Sa",HG5&lt;&gt;"So"),COUNTIF(Tabelle1[Spalte211],"")-1,"")))</f>
        <v>2</v>
      </c>
      <c r="HH11" s="55">
        <f ca="1">IF(IF(AND(HH4&lt;=TODAY(),HH5&lt;&gt;"Sa",HH5&lt;&gt;"So"),COUNTIF(Tabelle1[Spalte212],"A"),IF(AND(HH5&lt;&gt;"Sa",HH5&lt;&gt;"So"),COUNTIF(Tabelle1[Spalte212],"")-1,""))&lt;0,0,IF(AND(HH4&lt;=TODAY(),HH5&lt;&gt;"Sa",HH5&lt;&gt;"So"),COUNTIF(Tabelle1[Spalte212],"A"),IF(AND(HH5&lt;&gt;"Sa",HH5&lt;&gt;"So"),COUNTIF(Tabelle1[Spalte212],"")-1,"")))</f>
        <v>2</v>
      </c>
      <c r="HI11" s="55">
        <f ca="1">IF(IF(AND(HI4&lt;=TODAY(),HI5&lt;&gt;"Sa",HI5&lt;&gt;"So"),COUNTIF(Tabelle1[Spalte213],"A"),IF(AND(HI5&lt;&gt;"Sa",HI5&lt;&gt;"So"),COUNTIF(Tabelle1[Spalte213],"")-1,""))&lt;0,0,IF(AND(HI4&lt;=TODAY(),HI5&lt;&gt;"Sa",HI5&lt;&gt;"So"),COUNTIF(Tabelle1[Spalte213],"A"),IF(AND(HI5&lt;&gt;"Sa",HI5&lt;&gt;"So"),COUNTIF(Tabelle1[Spalte213],"")-1,"")))</f>
        <v>2</v>
      </c>
      <c r="HJ11" s="55" t="str">
        <f ca="1">IF(IF(AND(HJ4&lt;=TODAY(),HJ5&lt;&gt;"Sa",HJ5&lt;&gt;"So"),COUNTIF(Tabelle1[Spalte214],"A"),IF(AND(HJ5&lt;&gt;"Sa",HJ5&lt;&gt;"So"),COUNTIF(Tabelle1[Spalte214],"")-1,""))&lt;0,0,IF(AND(HJ4&lt;=TODAY(),HJ5&lt;&gt;"Sa",HJ5&lt;&gt;"So"),COUNTIF(Tabelle1[Spalte214],"A"),IF(AND(HJ5&lt;&gt;"Sa",HJ5&lt;&gt;"So"),COUNTIF(Tabelle1[Spalte214],"")-1,"")))</f>
        <v/>
      </c>
      <c r="HK11" s="55" t="str">
        <f ca="1">IF(IF(AND(HK4&lt;=TODAY(),HK5&lt;&gt;"Sa",HK5&lt;&gt;"So"),COUNTIF(Tabelle1[Spalte215],"A"),IF(AND(HK5&lt;&gt;"Sa",HK5&lt;&gt;"So"),COUNTIF(Tabelle1[Spalte215],"")-1,""))&lt;0,0,IF(AND(HK4&lt;=TODAY(),HK5&lt;&gt;"Sa",HK5&lt;&gt;"So"),COUNTIF(Tabelle1[Spalte215],"A"),IF(AND(HK5&lt;&gt;"Sa",HK5&lt;&gt;"So"),COUNTIF(Tabelle1[Spalte215],"")-1,"")))</f>
        <v/>
      </c>
      <c r="HL11" s="55">
        <f ca="1">IF(IF(AND(HL4&lt;=TODAY(),HL5&lt;&gt;"Sa",HL5&lt;&gt;"So"),COUNTIF(Tabelle1[Spalte216],"A"),IF(AND(HL5&lt;&gt;"Sa",HL5&lt;&gt;"So"),COUNTIF(Tabelle1[Spalte216],"")-1,""))&lt;0,0,IF(AND(HL4&lt;=TODAY(),HL5&lt;&gt;"Sa",HL5&lt;&gt;"So"),COUNTIF(Tabelle1[Spalte216],"A"),IF(AND(HL5&lt;&gt;"Sa",HL5&lt;&gt;"So"),COUNTIF(Tabelle1[Spalte216],"")-1,"")))</f>
        <v>2</v>
      </c>
      <c r="HM11" s="55">
        <f ca="1">IF(IF(AND(HM4&lt;=TODAY(),HM5&lt;&gt;"Sa",HM5&lt;&gt;"So"),COUNTIF(Tabelle1[Spalte217],"A"),IF(AND(HM5&lt;&gt;"Sa",HM5&lt;&gt;"So"),COUNTIF(Tabelle1[Spalte217],"")-1,""))&lt;0,0,IF(AND(HM4&lt;=TODAY(),HM5&lt;&gt;"Sa",HM5&lt;&gt;"So"),COUNTIF(Tabelle1[Spalte217],"A"),IF(AND(HM5&lt;&gt;"Sa",HM5&lt;&gt;"So"),COUNTIF(Tabelle1[Spalte217],"")-1,"")))</f>
        <v>2</v>
      </c>
      <c r="HN11" s="55">
        <f ca="1">IF(IF(AND(HN4&lt;=TODAY(),HN5&lt;&gt;"Sa",HN5&lt;&gt;"So"),COUNTIF(Tabelle1[Spalte218],"A"),IF(AND(HN5&lt;&gt;"Sa",HN5&lt;&gt;"So"),COUNTIF(Tabelle1[Spalte218],"")-1,""))&lt;0,0,IF(AND(HN4&lt;=TODAY(),HN5&lt;&gt;"Sa",HN5&lt;&gt;"So"),COUNTIF(Tabelle1[Spalte218],"A"),IF(AND(HN5&lt;&gt;"Sa",HN5&lt;&gt;"So"),COUNTIF(Tabelle1[Spalte218],"")-1,"")))</f>
        <v>2</v>
      </c>
      <c r="HO11" s="55">
        <f ca="1">IF(IF(AND(HO4&lt;=TODAY(),HO5&lt;&gt;"Sa",HO5&lt;&gt;"So"),COUNTIF(Tabelle1[Spalte219],"A"),IF(AND(HO5&lt;&gt;"Sa",HO5&lt;&gt;"So"),COUNTIF(Tabelle1[Spalte219],"")-1,""))&lt;0,0,IF(AND(HO4&lt;=TODAY(),HO5&lt;&gt;"Sa",HO5&lt;&gt;"So"),COUNTIF(Tabelle1[Spalte219],"A"),IF(AND(HO5&lt;&gt;"Sa",HO5&lt;&gt;"So"),COUNTIF(Tabelle1[Spalte219],"")-1,"")))</f>
        <v>2</v>
      </c>
      <c r="HP11" s="55">
        <f ca="1">IF(IF(AND(HP4&lt;=TODAY(),HP5&lt;&gt;"Sa",HP5&lt;&gt;"So"),COUNTIF(Tabelle1[Spalte220],"A"),IF(AND(HP5&lt;&gt;"Sa",HP5&lt;&gt;"So"),COUNTIF(Tabelle1[Spalte220],"")-1,""))&lt;0,0,IF(AND(HP4&lt;=TODAY(),HP5&lt;&gt;"Sa",HP5&lt;&gt;"So"),COUNTIF(Tabelle1[Spalte220],"A"),IF(AND(HP5&lt;&gt;"Sa",HP5&lt;&gt;"So"),COUNTIF(Tabelle1[Spalte220],"")-1,"")))</f>
        <v>2</v>
      </c>
      <c r="HQ11" s="55" t="str">
        <f ca="1">IF(IF(AND(HQ4&lt;=TODAY(),HQ5&lt;&gt;"Sa",HQ5&lt;&gt;"So"),COUNTIF(Tabelle1[Spalte221],"A"),IF(AND(HQ5&lt;&gt;"Sa",HQ5&lt;&gt;"So"),COUNTIF(Tabelle1[Spalte221],"")-1,""))&lt;0,0,IF(AND(HQ4&lt;=TODAY(),HQ5&lt;&gt;"Sa",HQ5&lt;&gt;"So"),COUNTIF(Tabelle1[Spalte221],"A"),IF(AND(HQ5&lt;&gt;"Sa",HQ5&lt;&gt;"So"),COUNTIF(Tabelle1[Spalte221],"")-1,"")))</f>
        <v/>
      </c>
      <c r="HR11" s="55" t="str">
        <f ca="1">IF(IF(AND(HR4&lt;=TODAY(),HR5&lt;&gt;"Sa",HR5&lt;&gt;"So"),COUNTIF(Tabelle1[Spalte222],"A"),IF(AND(HR5&lt;&gt;"Sa",HR5&lt;&gt;"So"),COUNTIF(Tabelle1[Spalte222],"")-1,""))&lt;0,0,IF(AND(HR4&lt;=TODAY(),HR5&lt;&gt;"Sa",HR5&lt;&gt;"So"),COUNTIF(Tabelle1[Spalte222],"A"),IF(AND(HR5&lt;&gt;"Sa",HR5&lt;&gt;"So"),COUNTIF(Tabelle1[Spalte222],"")-1,"")))</f>
        <v/>
      </c>
      <c r="HS11" s="55">
        <f ca="1">IF(IF(AND(HS4&lt;=TODAY(),HS5&lt;&gt;"Sa",HS5&lt;&gt;"So"),COUNTIF(Tabelle1[Spalte223],"A"),IF(AND(HS5&lt;&gt;"Sa",HS5&lt;&gt;"So"),COUNTIF(Tabelle1[Spalte223],"")-1,""))&lt;0,0,IF(AND(HS4&lt;=TODAY(),HS5&lt;&gt;"Sa",HS5&lt;&gt;"So"),COUNTIF(Tabelle1[Spalte223],"A"),IF(AND(HS5&lt;&gt;"Sa",HS5&lt;&gt;"So"),COUNTIF(Tabelle1[Spalte223],"")-1,"")))</f>
        <v>2</v>
      </c>
      <c r="HT11" s="55">
        <f ca="1">IF(IF(AND(HT4&lt;=TODAY(),HT5&lt;&gt;"Sa",HT5&lt;&gt;"So"),COUNTIF(Tabelle1[Spalte224],"A"),IF(AND(HT5&lt;&gt;"Sa",HT5&lt;&gt;"So"),COUNTIF(Tabelle1[Spalte224],"")-1,""))&lt;0,0,IF(AND(HT4&lt;=TODAY(),HT5&lt;&gt;"Sa",HT5&lt;&gt;"So"),COUNTIF(Tabelle1[Spalte224],"A"),IF(AND(HT5&lt;&gt;"Sa",HT5&lt;&gt;"So"),COUNTIF(Tabelle1[Spalte224],"")-1,"")))</f>
        <v>2</v>
      </c>
      <c r="HU11" s="55">
        <f ca="1">IF(IF(AND(HU4&lt;=TODAY(),HU5&lt;&gt;"Sa",HU5&lt;&gt;"So"),COUNTIF(Tabelle1[Spalte225],"A"),IF(AND(HU5&lt;&gt;"Sa",HU5&lt;&gt;"So"),COUNTIF(Tabelle1[Spalte225],"")-1,""))&lt;0,0,IF(AND(HU4&lt;=TODAY(),HU5&lt;&gt;"Sa",HU5&lt;&gt;"So"),COUNTIF(Tabelle1[Spalte225],"A"),IF(AND(HU5&lt;&gt;"Sa",HU5&lt;&gt;"So"),COUNTIF(Tabelle1[Spalte225],"")-1,"")))</f>
        <v>2</v>
      </c>
      <c r="HV11" s="55">
        <f ca="1">IF(IF(AND(HV4&lt;=TODAY(),HV5&lt;&gt;"Sa",HV5&lt;&gt;"So"),COUNTIF(Tabelle1[Spalte226],"A"),IF(AND(HV5&lt;&gt;"Sa",HV5&lt;&gt;"So"),COUNTIF(Tabelle1[Spalte226],"")-1,""))&lt;0,0,IF(AND(HV4&lt;=TODAY(),HV5&lt;&gt;"Sa",HV5&lt;&gt;"So"),COUNTIF(Tabelle1[Spalte226],"A"),IF(AND(HV5&lt;&gt;"Sa",HV5&lt;&gt;"So"),COUNTIF(Tabelle1[Spalte226],"")-1,"")))</f>
        <v>2</v>
      </c>
      <c r="HW11" s="55">
        <f ca="1">IF(IF(AND(HW4&lt;=TODAY(),HW5&lt;&gt;"Sa",HW5&lt;&gt;"So"),COUNTIF(Tabelle1[Spalte227],"A"),IF(AND(HW5&lt;&gt;"Sa",HW5&lt;&gt;"So"),COUNTIF(Tabelle1[Spalte227],"")-1,""))&lt;0,0,IF(AND(HW4&lt;=TODAY(),HW5&lt;&gt;"Sa",HW5&lt;&gt;"So"),COUNTIF(Tabelle1[Spalte227],"A"),IF(AND(HW5&lt;&gt;"Sa",HW5&lt;&gt;"So"),COUNTIF(Tabelle1[Spalte227],"")-1,"")))</f>
        <v>2</v>
      </c>
      <c r="HX11" s="55" t="str">
        <f ca="1">IF(IF(AND(HX4&lt;=TODAY(),HX5&lt;&gt;"Sa",HX5&lt;&gt;"So"),COUNTIF(Tabelle1[Spalte228],"A"),IF(AND(HX5&lt;&gt;"Sa",HX5&lt;&gt;"So"),COUNTIF(Tabelle1[Spalte228],"")-1,""))&lt;0,0,IF(AND(HX4&lt;=TODAY(),HX5&lt;&gt;"Sa",HX5&lt;&gt;"So"),COUNTIF(Tabelle1[Spalte228],"A"),IF(AND(HX5&lt;&gt;"Sa",HX5&lt;&gt;"So"),COUNTIF(Tabelle1[Spalte228],"")-1,"")))</f>
        <v/>
      </c>
      <c r="HY11" s="55" t="str">
        <f ca="1">IF(IF(AND(HY4&lt;=TODAY(),HY5&lt;&gt;"Sa",HY5&lt;&gt;"So"),COUNTIF(Tabelle1[Spalte229],"A"),IF(AND(HY5&lt;&gt;"Sa",HY5&lt;&gt;"So"),COUNTIF(Tabelle1[Spalte229],"")-1,""))&lt;0,0,IF(AND(HY4&lt;=TODAY(),HY5&lt;&gt;"Sa",HY5&lt;&gt;"So"),COUNTIF(Tabelle1[Spalte229],"A"),IF(AND(HY5&lt;&gt;"Sa",HY5&lt;&gt;"So"),COUNTIF(Tabelle1[Spalte229],"")-1,"")))</f>
        <v/>
      </c>
      <c r="HZ11" s="55">
        <f ca="1">IF(IF(AND(HZ4&lt;=TODAY(),HZ5&lt;&gt;"Sa",HZ5&lt;&gt;"So"),COUNTIF(Tabelle1[Spalte230],"A"),IF(AND(HZ5&lt;&gt;"Sa",HZ5&lt;&gt;"So"),COUNTIF(Tabelle1[Spalte230],"")-1,""))&lt;0,0,IF(AND(HZ4&lt;=TODAY(),HZ5&lt;&gt;"Sa",HZ5&lt;&gt;"So"),COUNTIF(Tabelle1[Spalte230],"A"),IF(AND(HZ5&lt;&gt;"Sa",HZ5&lt;&gt;"So"),COUNTIF(Tabelle1[Spalte230],"")-1,"")))</f>
        <v>2</v>
      </c>
      <c r="IA11" s="55">
        <f ca="1">IF(IF(AND(IA4&lt;=TODAY(),IA5&lt;&gt;"Sa",IA5&lt;&gt;"So"),COUNTIF(Tabelle1[Spalte231],"A"),IF(AND(IA5&lt;&gt;"Sa",IA5&lt;&gt;"So"),COUNTIF(Tabelle1[Spalte231],"")-1,""))&lt;0,0,IF(AND(IA4&lt;=TODAY(),IA5&lt;&gt;"Sa",IA5&lt;&gt;"So"),COUNTIF(Tabelle1[Spalte231],"A"),IF(AND(IA5&lt;&gt;"Sa",IA5&lt;&gt;"So"),COUNTIF(Tabelle1[Spalte231],"")-1,"")))</f>
        <v>2</v>
      </c>
      <c r="IB11" s="55">
        <f ca="1">IF(IF(AND(IB4&lt;=TODAY(),IB5&lt;&gt;"Sa",IB5&lt;&gt;"So"),COUNTIF(Tabelle1[Spalte232],"A"),IF(AND(IB5&lt;&gt;"Sa",IB5&lt;&gt;"So"),COUNTIF(Tabelle1[Spalte232],"")-1,""))&lt;0,0,IF(AND(IB4&lt;=TODAY(),IB5&lt;&gt;"Sa",IB5&lt;&gt;"So"),COUNTIF(Tabelle1[Spalte232],"A"),IF(AND(IB5&lt;&gt;"Sa",IB5&lt;&gt;"So"),COUNTIF(Tabelle1[Spalte232],"")-1,"")))</f>
        <v>2</v>
      </c>
      <c r="IC11" s="55">
        <f ca="1">IF(IF(AND(IC4&lt;=TODAY(),IC5&lt;&gt;"Sa",IC5&lt;&gt;"So"),COUNTIF(Tabelle1[Spalte233],"A"),IF(AND(IC5&lt;&gt;"Sa",IC5&lt;&gt;"So"),COUNTIF(Tabelle1[Spalte233],"")-1,""))&lt;0,0,IF(AND(IC4&lt;=TODAY(),IC5&lt;&gt;"Sa",IC5&lt;&gt;"So"),COUNTIF(Tabelle1[Spalte233],"A"),IF(AND(IC5&lt;&gt;"Sa",IC5&lt;&gt;"So"),COUNTIF(Tabelle1[Spalte233],"")-1,"")))</f>
        <v>2</v>
      </c>
      <c r="ID11" s="55">
        <f ca="1">IF(IF(AND(ID4&lt;=TODAY(),ID5&lt;&gt;"Sa",ID5&lt;&gt;"So"),COUNTIF(Tabelle1[Spalte234],"A"),IF(AND(ID5&lt;&gt;"Sa",ID5&lt;&gt;"So"),COUNTIF(Tabelle1[Spalte234],"")-1,""))&lt;0,0,IF(AND(ID4&lt;=TODAY(),ID5&lt;&gt;"Sa",ID5&lt;&gt;"So"),COUNTIF(Tabelle1[Spalte234],"A"),IF(AND(ID5&lt;&gt;"Sa",ID5&lt;&gt;"So"),COUNTIF(Tabelle1[Spalte234],"")-1,"")))</f>
        <v>2</v>
      </c>
      <c r="IE11" s="55" t="str">
        <f ca="1">IF(IF(AND(IE4&lt;=TODAY(),IE5&lt;&gt;"Sa",IE5&lt;&gt;"So"),COUNTIF(Tabelle1[Spalte235],"A"),IF(AND(IE5&lt;&gt;"Sa",IE5&lt;&gt;"So"),COUNTIF(Tabelle1[Spalte235],"")-1,""))&lt;0,0,IF(AND(IE4&lt;=TODAY(),IE5&lt;&gt;"Sa",IE5&lt;&gt;"So"),COUNTIF(Tabelle1[Spalte235],"A"),IF(AND(IE5&lt;&gt;"Sa",IE5&lt;&gt;"So"),COUNTIF(Tabelle1[Spalte235],"")-1,"")))</f>
        <v/>
      </c>
      <c r="IF11" s="55" t="str">
        <f ca="1">IF(IF(AND(IF4&lt;=TODAY(),IF5&lt;&gt;"Sa",IF5&lt;&gt;"So"),COUNTIF(Tabelle1[Spalte236],"A"),IF(AND(IF5&lt;&gt;"Sa",IF5&lt;&gt;"So"),COUNTIF(Tabelle1[Spalte236],"")-1,""))&lt;0,0,IF(AND(IF4&lt;=TODAY(),IF5&lt;&gt;"Sa",IF5&lt;&gt;"So"),COUNTIF(Tabelle1[Spalte236],"A"),IF(AND(IF5&lt;&gt;"Sa",IF5&lt;&gt;"So"),COUNTIF(Tabelle1[Spalte236],"")-1,"")))</f>
        <v/>
      </c>
      <c r="IG11" s="55">
        <f ca="1">IF(IF(AND(IG4&lt;=TODAY(),IG5&lt;&gt;"Sa",IG5&lt;&gt;"So"),COUNTIF(Tabelle1[Spalte237],"A"),IF(AND(IG5&lt;&gt;"Sa",IG5&lt;&gt;"So"),COUNTIF(Tabelle1[Spalte237],"")-1,""))&lt;0,0,IF(AND(IG4&lt;=TODAY(),IG5&lt;&gt;"Sa",IG5&lt;&gt;"So"),COUNTIF(Tabelle1[Spalte237],"A"),IF(AND(IG5&lt;&gt;"Sa",IG5&lt;&gt;"So"),COUNTIF(Tabelle1[Spalte237],"")-1,"")))</f>
        <v>2</v>
      </c>
      <c r="IH11" s="55">
        <f ca="1">IF(IF(AND(IH4&lt;=TODAY(),IH5&lt;&gt;"Sa",IH5&lt;&gt;"So"),COUNTIF(Tabelle1[Spalte238],"A"),IF(AND(IH5&lt;&gt;"Sa",IH5&lt;&gt;"So"),COUNTIF(Tabelle1[Spalte238],"")-1,""))&lt;0,0,IF(AND(IH4&lt;=TODAY(),IH5&lt;&gt;"Sa",IH5&lt;&gt;"So"),COUNTIF(Tabelle1[Spalte238],"A"),IF(AND(IH5&lt;&gt;"Sa",IH5&lt;&gt;"So"),COUNTIF(Tabelle1[Spalte238],"")-1,"")))</f>
        <v>2</v>
      </c>
      <c r="II11" s="55">
        <f ca="1">IF(IF(AND(II4&lt;=TODAY(),II5&lt;&gt;"Sa",II5&lt;&gt;"So"),COUNTIF(Tabelle1[Spalte239],"A"),IF(AND(II5&lt;&gt;"Sa",II5&lt;&gt;"So"),COUNTIF(Tabelle1[Spalte239],"")-1,""))&lt;0,0,IF(AND(II4&lt;=TODAY(),II5&lt;&gt;"Sa",II5&lt;&gt;"So"),COUNTIF(Tabelle1[Spalte239],"A"),IF(AND(II5&lt;&gt;"Sa",II5&lt;&gt;"So"),COUNTIF(Tabelle1[Spalte239],"")-1,"")))</f>
        <v>2</v>
      </c>
      <c r="IJ11" s="55">
        <f ca="1">IF(IF(AND(IJ4&lt;=TODAY(),IJ5&lt;&gt;"Sa",IJ5&lt;&gt;"So"),COUNTIF(Tabelle1[Spalte240],"A"),IF(AND(IJ5&lt;&gt;"Sa",IJ5&lt;&gt;"So"),COUNTIF(Tabelle1[Spalte240],"")-1,""))&lt;0,0,IF(AND(IJ4&lt;=TODAY(),IJ5&lt;&gt;"Sa",IJ5&lt;&gt;"So"),COUNTIF(Tabelle1[Spalte240],"A"),IF(AND(IJ5&lt;&gt;"Sa",IJ5&lt;&gt;"So"),COUNTIF(Tabelle1[Spalte240],"")-1,"")))</f>
        <v>2</v>
      </c>
      <c r="IK11" s="55">
        <f ca="1">IF(IF(AND(IK4&lt;=TODAY(),IK5&lt;&gt;"Sa",IK5&lt;&gt;"So"),COUNTIF(Tabelle1[Spalte241],"A"),IF(AND(IK5&lt;&gt;"Sa",IK5&lt;&gt;"So"),COUNTIF(Tabelle1[Spalte241],"")-1,""))&lt;0,0,IF(AND(IK4&lt;=TODAY(),IK5&lt;&gt;"Sa",IK5&lt;&gt;"So"),COUNTIF(Tabelle1[Spalte241],"A"),IF(AND(IK5&lt;&gt;"Sa",IK5&lt;&gt;"So"),COUNTIF(Tabelle1[Spalte241],"")-1,"")))</f>
        <v>2</v>
      </c>
      <c r="IL11" s="55" t="str">
        <f ca="1">IF(IF(AND(IL4&lt;=TODAY(),IL5&lt;&gt;"Sa",IL5&lt;&gt;"So"),COUNTIF(Tabelle1[Spalte242],"A"),IF(AND(IL5&lt;&gt;"Sa",IL5&lt;&gt;"So"),COUNTIF(Tabelle1[Spalte242],"")-1,""))&lt;0,0,IF(AND(IL4&lt;=TODAY(),IL5&lt;&gt;"Sa",IL5&lt;&gt;"So"),COUNTIF(Tabelle1[Spalte242],"A"),IF(AND(IL5&lt;&gt;"Sa",IL5&lt;&gt;"So"),COUNTIF(Tabelle1[Spalte242],"")-1,"")))</f>
        <v/>
      </c>
      <c r="IM11" s="55" t="str">
        <f ca="1">IF(IF(AND(IM4&lt;=TODAY(),IM5&lt;&gt;"Sa",IM5&lt;&gt;"So"),COUNTIF(Tabelle1[Spalte243],"A"),IF(AND(IM5&lt;&gt;"Sa",IM5&lt;&gt;"So"),COUNTIF(Tabelle1[Spalte243],"")-1,""))&lt;0,0,IF(AND(IM4&lt;=TODAY(),IM5&lt;&gt;"Sa",IM5&lt;&gt;"So"),COUNTIF(Tabelle1[Spalte243],"A"),IF(AND(IM5&lt;&gt;"Sa",IM5&lt;&gt;"So"),COUNTIF(Tabelle1[Spalte243],"")-1,"")))</f>
        <v/>
      </c>
      <c r="IN11" s="55">
        <f ca="1">IF(IF(AND(IN4&lt;=TODAY(),IN5&lt;&gt;"Sa",IN5&lt;&gt;"So"),COUNTIF(Tabelle1[Spalte244],"A"),IF(AND(IN5&lt;&gt;"Sa",IN5&lt;&gt;"So"),COUNTIF(Tabelle1[Spalte244],"")-1,""))&lt;0,0,IF(AND(IN4&lt;=TODAY(),IN5&lt;&gt;"Sa",IN5&lt;&gt;"So"),COUNTIF(Tabelle1[Spalte244],"A"),IF(AND(IN5&lt;&gt;"Sa",IN5&lt;&gt;"So"),COUNTIF(Tabelle1[Spalte244],"")-1,"")))</f>
        <v>2</v>
      </c>
      <c r="IO11" s="55">
        <f ca="1">IF(IF(AND(IO4&lt;=TODAY(),IO5&lt;&gt;"Sa",IO5&lt;&gt;"So"),COUNTIF(Tabelle1[Spalte245],"A"),IF(AND(IO5&lt;&gt;"Sa",IO5&lt;&gt;"So"),COUNTIF(Tabelle1[Spalte245],"")-1,""))&lt;0,0,IF(AND(IO4&lt;=TODAY(),IO5&lt;&gt;"Sa",IO5&lt;&gt;"So"),COUNTIF(Tabelle1[Spalte245],"A"),IF(AND(IO5&lt;&gt;"Sa",IO5&lt;&gt;"So"),COUNTIF(Tabelle1[Spalte245],"")-1,"")))</f>
        <v>2</v>
      </c>
      <c r="IP11" s="55">
        <f ca="1">IF(IF(AND(IP4&lt;=TODAY(),IP5&lt;&gt;"Sa",IP5&lt;&gt;"So"),COUNTIF(Tabelle1[Spalte246],"A"),IF(AND(IP5&lt;&gt;"Sa",IP5&lt;&gt;"So"),COUNTIF(Tabelle1[Spalte246],"")-1,""))&lt;0,0,IF(AND(IP4&lt;=TODAY(),IP5&lt;&gt;"Sa",IP5&lt;&gt;"So"),COUNTIF(Tabelle1[Spalte246],"A"),IF(AND(IP5&lt;&gt;"Sa",IP5&lt;&gt;"So"),COUNTIF(Tabelle1[Spalte246],"")-1,"")))</f>
        <v>2</v>
      </c>
      <c r="IQ11" s="55">
        <f ca="1">IF(IF(AND(IQ4&lt;=TODAY(),IQ5&lt;&gt;"Sa",IQ5&lt;&gt;"So"),COUNTIF(Tabelle1[Spalte247],"A"),IF(AND(IQ5&lt;&gt;"Sa",IQ5&lt;&gt;"So"),COUNTIF(Tabelle1[Spalte247],"")-1,""))&lt;0,0,IF(AND(IQ4&lt;=TODAY(),IQ5&lt;&gt;"Sa",IQ5&lt;&gt;"So"),COUNTIF(Tabelle1[Spalte247],"A"),IF(AND(IQ5&lt;&gt;"Sa",IQ5&lt;&gt;"So"),COUNTIF(Tabelle1[Spalte247],"")-1,"")))</f>
        <v>2</v>
      </c>
      <c r="IR11" s="55">
        <f ca="1">IF(IF(AND(IR4&lt;=TODAY(),IR5&lt;&gt;"Sa",IR5&lt;&gt;"So"),COUNTIF(Tabelle1[Spalte248],"A"),IF(AND(IR5&lt;&gt;"Sa",IR5&lt;&gt;"So"),COUNTIF(Tabelle1[Spalte248],"")-1,""))&lt;0,0,IF(AND(IR4&lt;=TODAY(),IR5&lt;&gt;"Sa",IR5&lt;&gt;"So"),COUNTIF(Tabelle1[Spalte248],"A"),IF(AND(IR5&lt;&gt;"Sa",IR5&lt;&gt;"So"),COUNTIF(Tabelle1[Spalte248],"")-1,"")))</f>
        <v>2</v>
      </c>
      <c r="IS11" s="55" t="str">
        <f ca="1">IF(IF(AND(IS4&lt;=TODAY(),IS5&lt;&gt;"Sa",IS5&lt;&gt;"So"),COUNTIF(Tabelle1[Spalte249],"A"),IF(AND(IS5&lt;&gt;"Sa",IS5&lt;&gt;"So"),COUNTIF(Tabelle1[Spalte249],"")-1,""))&lt;0,0,IF(AND(IS4&lt;=TODAY(),IS5&lt;&gt;"Sa",IS5&lt;&gt;"So"),COUNTIF(Tabelle1[Spalte249],"A"),IF(AND(IS5&lt;&gt;"Sa",IS5&lt;&gt;"So"),COUNTIF(Tabelle1[Spalte249],"")-1,"")))</f>
        <v/>
      </c>
      <c r="IT11" s="55" t="str">
        <f ca="1">IF(IF(AND(IT4&lt;=TODAY(),IT5&lt;&gt;"Sa",IT5&lt;&gt;"So"),COUNTIF(Tabelle1[Spalte250],"A"),IF(AND(IT5&lt;&gt;"Sa",IT5&lt;&gt;"So"),COUNTIF(Tabelle1[Spalte250],"")-1,""))&lt;0,0,IF(AND(IT4&lt;=TODAY(),IT5&lt;&gt;"Sa",IT5&lt;&gt;"So"),COUNTIF(Tabelle1[Spalte250],"A"),IF(AND(IT5&lt;&gt;"Sa",IT5&lt;&gt;"So"),COUNTIF(Tabelle1[Spalte250],"")-1,"")))</f>
        <v/>
      </c>
      <c r="IU11" s="55">
        <f ca="1">IF(IF(AND(IU4&lt;=TODAY(),IU5&lt;&gt;"Sa",IU5&lt;&gt;"So"),COUNTIF(Tabelle1[Spalte251],"A"),IF(AND(IU5&lt;&gt;"Sa",IU5&lt;&gt;"So"),COUNTIF(Tabelle1[Spalte251],"")-1,""))&lt;0,0,IF(AND(IU4&lt;=TODAY(),IU5&lt;&gt;"Sa",IU5&lt;&gt;"So"),COUNTIF(Tabelle1[Spalte251],"A"),IF(AND(IU5&lt;&gt;"Sa",IU5&lt;&gt;"So"),COUNTIF(Tabelle1[Spalte251],"")-1,"")))</f>
        <v>2</v>
      </c>
      <c r="IV11" s="55">
        <f ca="1">IF(IF(AND(IV4&lt;=TODAY(),IV5&lt;&gt;"Sa",IV5&lt;&gt;"So"),COUNTIF(Tabelle1[Spalte252],"A"),IF(AND(IV5&lt;&gt;"Sa",IV5&lt;&gt;"So"),COUNTIF(Tabelle1[Spalte252],"")-1,""))&lt;0,0,IF(AND(IV4&lt;=TODAY(),IV5&lt;&gt;"Sa",IV5&lt;&gt;"So"),COUNTIF(Tabelle1[Spalte252],"A"),IF(AND(IV5&lt;&gt;"Sa",IV5&lt;&gt;"So"),COUNTIF(Tabelle1[Spalte252],"")-1,"")))</f>
        <v>2</v>
      </c>
      <c r="IW11" s="55">
        <f ca="1">IF(IF(AND(IW4&lt;=TODAY(),IW5&lt;&gt;"Sa",IW5&lt;&gt;"So"),COUNTIF(Tabelle1[Spalte253],"A"),IF(AND(IW5&lt;&gt;"Sa",IW5&lt;&gt;"So"),COUNTIF(Tabelle1[Spalte253],"")-1,""))&lt;0,0,IF(AND(IW4&lt;=TODAY(),IW5&lt;&gt;"Sa",IW5&lt;&gt;"So"),COUNTIF(Tabelle1[Spalte253],"A"),IF(AND(IW5&lt;&gt;"Sa",IW5&lt;&gt;"So"),COUNTIF(Tabelle1[Spalte253],"")-1,"")))</f>
        <v>2</v>
      </c>
      <c r="IX11" s="55">
        <f ca="1">IF(IF(AND(IX4&lt;=TODAY(),IX5&lt;&gt;"Sa",IX5&lt;&gt;"So"),COUNTIF(Tabelle1[Spalte254],"A"),IF(AND(IX5&lt;&gt;"Sa",IX5&lt;&gt;"So"),COUNTIF(Tabelle1[Spalte254],"")-1,""))&lt;0,0,IF(AND(IX4&lt;=TODAY(),IX5&lt;&gt;"Sa",IX5&lt;&gt;"So"),COUNTIF(Tabelle1[Spalte254],"A"),IF(AND(IX5&lt;&gt;"Sa",IX5&lt;&gt;"So"),COUNTIF(Tabelle1[Spalte254],"")-1,"")))</f>
        <v>2</v>
      </c>
      <c r="IY11" s="55">
        <f ca="1">IF(IF(AND(IY4&lt;=TODAY(),IY5&lt;&gt;"Sa",IY5&lt;&gt;"So"),COUNTIF(Tabelle1[Spalte255],"A"),IF(AND(IY5&lt;&gt;"Sa",IY5&lt;&gt;"So"),COUNTIF(Tabelle1[Spalte255],"")-1,""))&lt;0,0,IF(AND(IY4&lt;=TODAY(),IY5&lt;&gt;"Sa",IY5&lt;&gt;"So"),COUNTIF(Tabelle1[Spalte255],"A"),IF(AND(IY5&lt;&gt;"Sa",IY5&lt;&gt;"So"),COUNTIF(Tabelle1[Spalte255],"")-1,"")))</f>
        <v>2</v>
      </c>
      <c r="IZ11" s="55" t="str">
        <f ca="1">IF(IF(AND(IZ4&lt;=TODAY(),IZ5&lt;&gt;"Sa",IZ5&lt;&gt;"So"),COUNTIF(Tabelle1[Spalte256],"A"),IF(AND(IZ5&lt;&gt;"Sa",IZ5&lt;&gt;"So"),COUNTIF(Tabelle1[Spalte256],"")-1,""))&lt;0,0,IF(AND(IZ4&lt;=TODAY(),IZ5&lt;&gt;"Sa",IZ5&lt;&gt;"So"),COUNTIF(Tabelle1[Spalte256],"A"),IF(AND(IZ5&lt;&gt;"Sa",IZ5&lt;&gt;"So"),COUNTIF(Tabelle1[Spalte256],"")-1,"")))</f>
        <v/>
      </c>
      <c r="JA11" s="55" t="str">
        <f ca="1">IF(IF(AND(JA4&lt;=TODAY(),JA5&lt;&gt;"Sa",JA5&lt;&gt;"So"),COUNTIF(Tabelle1[Spalte257],"A"),IF(AND(JA5&lt;&gt;"Sa",JA5&lt;&gt;"So"),COUNTIF(Tabelle1[Spalte257],"")-1,""))&lt;0,0,IF(AND(JA4&lt;=TODAY(),JA5&lt;&gt;"Sa",JA5&lt;&gt;"So"),COUNTIF(Tabelle1[Spalte257],"A"),IF(AND(JA5&lt;&gt;"Sa",JA5&lt;&gt;"So"),COUNTIF(Tabelle1[Spalte257],"")-1,"")))</f>
        <v/>
      </c>
      <c r="JB11" s="55">
        <f ca="1">IF(IF(AND(JB4&lt;=TODAY(),JB5&lt;&gt;"Sa",JB5&lt;&gt;"So"),COUNTIF(Tabelle1[Spalte258],"A"),IF(AND(JB5&lt;&gt;"Sa",JB5&lt;&gt;"So"),COUNTIF(Tabelle1[Spalte258],"")-1,""))&lt;0,0,IF(AND(JB4&lt;=TODAY(),JB5&lt;&gt;"Sa",JB5&lt;&gt;"So"),COUNTIF(Tabelle1[Spalte258],"A"),IF(AND(JB5&lt;&gt;"Sa",JB5&lt;&gt;"So"),COUNTIF(Tabelle1[Spalte258],"")-1,"")))</f>
        <v>2</v>
      </c>
      <c r="JC11" s="55">
        <f ca="1">IF(IF(AND(JC4&lt;=TODAY(),JC5&lt;&gt;"Sa",JC5&lt;&gt;"So"),COUNTIF(Tabelle1[Spalte259],"A"),IF(AND(JC5&lt;&gt;"Sa",JC5&lt;&gt;"So"),COUNTIF(Tabelle1[Spalte259],"")-1,""))&lt;0,0,IF(AND(JC4&lt;=TODAY(),JC5&lt;&gt;"Sa",JC5&lt;&gt;"So"),COUNTIF(Tabelle1[Spalte259],"A"),IF(AND(JC5&lt;&gt;"Sa",JC5&lt;&gt;"So"),COUNTIF(Tabelle1[Spalte259],"")-1,"")))</f>
        <v>2</v>
      </c>
      <c r="JD11" s="55">
        <f ca="1">IF(IF(AND(JD4&lt;=TODAY(),JD5&lt;&gt;"Sa",JD5&lt;&gt;"So"),COUNTIF(Tabelle1[Spalte260],"A"),IF(AND(JD5&lt;&gt;"Sa",JD5&lt;&gt;"So"),COUNTIF(Tabelle1[Spalte260],"")-1,""))&lt;0,0,IF(AND(JD4&lt;=TODAY(),JD5&lt;&gt;"Sa",JD5&lt;&gt;"So"),COUNTIF(Tabelle1[Spalte260],"A"),IF(AND(JD5&lt;&gt;"Sa",JD5&lt;&gt;"So"),COUNTIF(Tabelle1[Spalte260],"")-1,"")))</f>
        <v>2</v>
      </c>
      <c r="JE11" s="55">
        <f ca="1">IF(IF(AND(JE4&lt;=TODAY(),JE5&lt;&gt;"Sa",JE5&lt;&gt;"So"),COUNTIF(Tabelle1[Spalte261],"A"),IF(AND(JE5&lt;&gt;"Sa",JE5&lt;&gt;"So"),COUNTIF(Tabelle1[Spalte261],"")-1,""))&lt;0,0,IF(AND(JE4&lt;=TODAY(),JE5&lt;&gt;"Sa",JE5&lt;&gt;"So"),COUNTIF(Tabelle1[Spalte261],"A"),IF(AND(JE5&lt;&gt;"Sa",JE5&lt;&gt;"So"),COUNTIF(Tabelle1[Spalte261],"")-1,"")))</f>
        <v>2</v>
      </c>
      <c r="JF11" s="55">
        <f ca="1">IF(IF(AND(JF4&lt;=TODAY(),JF5&lt;&gt;"Sa",JF5&lt;&gt;"So"),COUNTIF(Tabelle1[Spalte262],"A"),IF(AND(JF5&lt;&gt;"Sa",JF5&lt;&gt;"So"),COUNTIF(Tabelle1[Spalte262],"")-1,""))&lt;0,0,IF(AND(JF4&lt;=TODAY(),JF5&lt;&gt;"Sa",JF5&lt;&gt;"So"),COUNTIF(Tabelle1[Spalte262],"A"),IF(AND(JF5&lt;&gt;"Sa",JF5&lt;&gt;"So"),COUNTIF(Tabelle1[Spalte262],"")-1,"")))</f>
        <v>2</v>
      </c>
      <c r="JG11" s="55" t="str">
        <f ca="1">IF(IF(AND(JG4&lt;=TODAY(),JG5&lt;&gt;"Sa",JG5&lt;&gt;"So"),COUNTIF(Tabelle1[Spalte263],"A"),IF(AND(JG5&lt;&gt;"Sa",JG5&lt;&gt;"So"),COUNTIF(Tabelle1[Spalte263],"")-1,""))&lt;0,0,IF(AND(JG4&lt;=TODAY(),JG5&lt;&gt;"Sa",JG5&lt;&gt;"So"),COUNTIF(Tabelle1[Spalte263],"A"),IF(AND(JG5&lt;&gt;"Sa",JG5&lt;&gt;"So"),COUNTIF(Tabelle1[Spalte263],"")-1,"")))</f>
        <v/>
      </c>
      <c r="JH11" s="55" t="str">
        <f ca="1">IF(IF(AND(JH4&lt;=TODAY(),JH5&lt;&gt;"Sa",JH5&lt;&gt;"So"),COUNTIF(Tabelle1[Spalte264],"A"),IF(AND(JH5&lt;&gt;"Sa",JH5&lt;&gt;"So"),COUNTIF(Tabelle1[Spalte264],"")-1,""))&lt;0,0,IF(AND(JH4&lt;=TODAY(),JH5&lt;&gt;"Sa",JH5&lt;&gt;"So"),COUNTIF(Tabelle1[Spalte264],"A"),IF(AND(JH5&lt;&gt;"Sa",JH5&lt;&gt;"So"),COUNTIF(Tabelle1[Spalte264],"")-1,"")))</f>
        <v/>
      </c>
      <c r="JI11" s="55">
        <f ca="1">IF(IF(AND(JI4&lt;=TODAY(),JI5&lt;&gt;"Sa",JI5&lt;&gt;"So"),COUNTIF(Tabelle1[Spalte265],"A"),IF(AND(JI5&lt;&gt;"Sa",JI5&lt;&gt;"So"),COUNTIF(Tabelle1[Spalte265],"")-1,""))&lt;0,0,IF(AND(JI4&lt;=TODAY(),JI5&lt;&gt;"Sa",JI5&lt;&gt;"So"),COUNTIF(Tabelle1[Spalte265],"A"),IF(AND(JI5&lt;&gt;"Sa",JI5&lt;&gt;"So"),COUNTIF(Tabelle1[Spalte265],"")-1,"")))</f>
        <v>2</v>
      </c>
      <c r="JJ11" s="55">
        <f ca="1">IF(IF(AND(JJ4&lt;=TODAY(),JJ5&lt;&gt;"Sa",JJ5&lt;&gt;"So"),COUNTIF(Tabelle1[Spalte266],"A"),IF(AND(JJ5&lt;&gt;"Sa",JJ5&lt;&gt;"So"),COUNTIF(Tabelle1[Spalte266],"")-1,""))&lt;0,0,IF(AND(JJ4&lt;=TODAY(),JJ5&lt;&gt;"Sa",JJ5&lt;&gt;"So"),COUNTIF(Tabelle1[Spalte266],"A"),IF(AND(JJ5&lt;&gt;"Sa",JJ5&lt;&gt;"So"),COUNTIF(Tabelle1[Spalte266],"")-1,"")))</f>
        <v>2</v>
      </c>
      <c r="JK11" s="55">
        <f ca="1">IF(IF(AND(JK4&lt;=TODAY(),JK5&lt;&gt;"Sa",JK5&lt;&gt;"So"),COUNTIF(Tabelle1[Spalte267],"A"),IF(AND(JK5&lt;&gt;"Sa",JK5&lt;&gt;"So"),COUNTIF(Tabelle1[Spalte267],"")-1,""))&lt;0,0,IF(AND(JK4&lt;=TODAY(),JK5&lt;&gt;"Sa",JK5&lt;&gt;"So"),COUNTIF(Tabelle1[Spalte267],"A"),IF(AND(JK5&lt;&gt;"Sa",JK5&lt;&gt;"So"),COUNTIF(Tabelle1[Spalte267],"")-1,"")))</f>
        <v>2</v>
      </c>
      <c r="JL11" s="55">
        <f ca="1">IF(IF(AND(JL4&lt;=TODAY(),JL5&lt;&gt;"Sa",JL5&lt;&gt;"So"),COUNTIF(Tabelle1[Spalte268],"A"),IF(AND(JL5&lt;&gt;"Sa",JL5&lt;&gt;"So"),COUNTIF(Tabelle1[Spalte268],"")-1,""))&lt;0,0,IF(AND(JL4&lt;=TODAY(),JL5&lt;&gt;"Sa",JL5&lt;&gt;"So"),COUNTIF(Tabelle1[Spalte268],"A"),IF(AND(JL5&lt;&gt;"Sa",JL5&lt;&gt;"So"),COUNTIF(Tabelle1[Spalte268],"")-1,"")))</f>
        <v>2</v>
      </c>
      <c r="JM11" s="55">
        <f ca="1">IF(IF(AND(JM4&lt;=TODAY(),JM5&lt;&gt;"Sa",JM5&lt;&gt;"So"),COUNTIF(Tabelle1[Spalte269],"A"),IF(AND(JM5&lt;&gt;"Sa",JM5&lt;&gt;"So"),COUNTIF(Tabelle1[Spalte269],"")-1,""))&lt;0,0,IF(AND(JM4&lt;=TODAY(),JM5&lt;&gt;"Sa",JM5&lt;&gt;"So"),COUNTIF(Tabelle1[Spalte269],"A"),IF(AND(JM5&lt;&gt;"Sa",JM5&lt;&gt;"So"),COUNTIF(Tabelle1[Spalte269],"")-1,"")))</f>
        <v>2</v>
      </c>
      <c r="JN11" s="55" t="str">
        <f ca="1">IF(IF(AND(JN4&lt;=TODAY(),JN5&lt;&gt;"Sa",JN5&lt;&gt;"So"),COUNTIF(Tabelle1[Spalte270],"A"),IF(AND(JN5&lt;&gt;"Sa",JN5&lt;&gt;"So"),COUNTIF(Tabelle1[Spalte270],"")-1,""))&lt;0,0,IF(AND(JN4&lt;=TODAY(),JN5&lt;&gt;"Sa",JN5&lt;&gt;"So"),COUNTIF(Tabelle1[Spalte270],"A"),IF(AND(JN5&lt;&gt;"Sa",JN5&lt;&gt;"So"),COUNTIF(Tabelle1[Spalte270],"")-1,"")))</f>
        <v/>
      </c>
      <c r="JO11" s="55" t="str">
        <f ca="1">IF(IF(AND(JO4&lt;=TODAY(),JO5&lt;&gt;"Sa",JO5&lt;&gt;"So"),COUNTIF(Tabelle1[Spalte271],"A"),IF(AND(JO5&lt;&gt;"Sa",JO5&lt;&gt;"So"),COUNTIF(Tabelle1[Spalte271],"")-1,""))&lt;0,0,IF(AND(JO4&lt;=TODAY(),JO5&lt;&gt;"Sa",JO5&lt;&gt;"So"),COUNTIF(Tabelle1[Spalte271],"A"),IF(AND(JO5&lt;&gt;"Sa",JO5&lt;&gt;"So"),COUNTIF(Tabelle1[Spalte271],"")-1,"")))</f>
        <v/>
      </c>
      <c r="JP11" s="55">
        <f ca="1">IF(IF(AND(JP4&lt;=TODAY(),JP5&lt;&gt;"Sa",JP5&lt;&gt;"So"),COUNTIF(Tabelle1[Spalte272],"A"),IF(AND(JP5&lt;&gt;"Sa",JP5&lt;&gt;"So"),COUNTIF(Tabelle1[Spalte272],"")-1,""))&lt;0,0,IF(AND(JP4&lt;=TODAY(),JP5&lt;&gt;"Sa",JP5&lt;&gt;"So"),COUNTIF(Tabelle1[Spalte272],"A"),IF(AND(JP5&lt;&gt;"Sa",JP5&lt;&gt;"So"),COUNTIF(Tabelle1[Spalte272],"")-1,"")))</f>
        <v>2</v>
      </c>
      <c r="JQ11" s="55">
        <f ca="1">IF(IF(AND(JQ4&lt;=TODAY(),JQ5&lt;&gt;"Sa",JQ5&lt;&gt;"So"),COUNTIF(Tabelle1[Spalte273],"A"),IF(AND(JQ5&lt;&gt;"Sa",JQ5&lt;&gt;"So"),COUNTIF(Tabelle1[Spalte273],"")-1,""))&lt;0,0,IF(AND(JQ4&lt;=TODAY(),JQ5&lt;&gt;"Sa",JQ5&lt;&gt;"So"),COUNTIF(Tabelle1[Spalte273],"A"),IF(AND(JQ5&lt;&gt;"Sa",JQ5&lt;&gt;"So"),COUNTIF(Tabelle1[Spalte273],"")-1,"")))</f>
        <v>2</v>
      </c>
      <c r="JR11" s="55">
        <f ca="1">IF(IF(AND(JR4&lt;=TODAY(),JR5&lt;&gt;"Sa",JR5&lt;&gt;"So"),COUNTIF(Tabelle1[Spalte274],"A"),IF(AND(JR5&lt;&gt;"Sa",JR5&lt;&gt;"So"),COUNTIF(Tabelle1[Spalte274],"")-1,""))&lt;0,0,IF(AND(JR4&lt;=TODAY(),JR5&lt;&gt;"Sa",JR5&lt;&gt;"So"),COUNTIF(Tabelle1[Spalte274],"A"),IF(AND(JR5&lt;&gt;"Sa",JR5&lt;&gt;"So"),COUNTIF(Tabelle1[Spalte274],"")-1,"")))</f>
        <v>2</v>
      </c>
      <c r="JS11" s="55">
        <f ca="1">IF(IF(AND(JS4&lt;=TODAY(),JS5&lt;&gt;"Sa",JS5&lt;&gt;"So"),COUNTIF(Tabelle1[Spalte275],"A"),IF(AND(JS5&lt;&gt;"Sa",JS5&lt;&gt;"So"),COUNTIF(Tabelle1[Spalte275],"")-1,""))&lt;0,0,IF(AND(JS4&lt;=TODAY(),JS5&lt;&gt;"Sa",JS5&lt;&gt;"So"),COUNTIF(Tabelle1[Spalte275],"A"),IF(AND(JS5&lt;&gt;"Sa",JS5&lt;&gt;"So"),COUNTIF(Tabelle1[Spalte275],"")-1,"")))</f>
        <v>2</v>
      </c>
      <c r="JT11" s="55">
        <f ca="1">IF(IF(AND(JT4&lt;=TODAY(),JT5&lt;&gt;"Sa",JT5&lt;&gt;"So"),COUNTIF(Tabelle1[Spalte276],"A"),IF(AND(JT5&lt;&gt;"Sa",JT5&lt;&gt;"So"),COUNTIF(Tabelle1[Spalte276],"")-1,""))&lt;0,0,IF(AND(JT4&lt;=TODAY(),JT5&lt;&gt;"Sa",JT5&lt;&gt;"So"),COUNTIF(Tabelle1[Spalte276],"A"),IF(AND(JT5&lt;&gt;"Sa",JT5&lt;&gt;"So"),COUNTIF(Tabelle1[Spalte276],"")-1,"")))</f>
        <v>2</v>
      </c>
      <c r="JU11" s="55" t="str">
        <f ca="1">IF(IF(AND(JU4&lt;=TODAY(),JU5&lt;&gt;"Sa",JU5&lt;&gt;"So"),COUNTIF(Tabelle1[Spalte277],"A"),IF(AND(JU5&lt;&gt;"Sa",JU5&lt;&gt;"So"),COUNTIF(Tabelle1[Spalte277],"")-1,""))&lt;0,0,IF(AND(JU4&lt;=TODAY(),JU5&lt;&gt;"Sa",JU5&lt;&gt;"So"),COUNTIF(Tabelle1[Spalte277],"A"),IF(AND(JU5&lt;&gt;"Sa",JU5&lt;&gt;"So"),COUNTIF(Tabelle1[Spalte277],"")-1,"")))</f>
        <v/>
      </c>
      <c r="JV11" s="55" t="str">
        <f ca="1">IF(IF(AND(JV4&lt;=TODAY(),JV5&lt;&gt;"Sa",JV5&lt;&gt;"So"),COUNTIF(Tabelle1[Spalte278],"A"),IF(AND(JV5&lt;&gt;"Sa",JV5&lt;&gt;"So"),COUNTIF(Tabelle1[Spalte278],"")-1,""))&lt;0,0,IF(AND(JV4&lt;=TODAY(),JV5&lt;&gt;"Sa",JV5&lt;&gt;"So"),COUNTIF(Tabelle1[Spalte278],"A"),IF(AND(JV5&lt;&gt;"Sa",JV5&lt;&gt;"So"),COUNTIF(Tabelle1[Spalte278],"")-1,"")))</f>
        <v/>
      </c>
      <c r="JW11" s="55">
        <f ca="1">IF(IF(AND(JW4&lt;=TODAY(),JW5&lt;&gt;"Sa",JW5&lt;&gt;"So"),COUNTIF(Tabelle1[Spalte279],"A"),IF(AND(JW5&lt;&gt;"Sa",JW5&lt;&gt;"So"),COUNTIF(Tabelle1[Spalte279],"")-1,""))&lt;0,0,IF(AND(JW4&lt;=TODAY(),JW5&lt;&gt;"Sa",JW5&lt;&gt;"So"),COUNTIF(Tabelle1[Spalte279],"A"),IF(AND(JW5&lt;&gt;"Sa",JW5&lt;&gt;"So"),COUNTIF(Tabelle1[Spalte279],"")-1,"")))</f>
        <v>2</v>
      </c>
      <c r="JX11" s="55">
        <f ca="1">IF(IF(AND(JX4&lt;=TODAY(),JX5&lt;&gt;"Sa",JX5&lt;&gt;"So"),COUNTIF(Tabelle1[Spalte280],"A"),IF(AND(JX5&lt;&gt;"Sa",JX5&lt;&gt;"So"),COUNTIF(Tabelle1[Spalte280],"")-1,""))&lt;0,0,IF(AND(JX4&lt;=TODAY(),JX5&lt;&gt;"Sa",JX5&lt;&gt;"So"),COUNTIF(Tabelle1[Spalte280],"A"),IF(AND(JX5&lt;&gt;"Sa",JX5&lt;&gt;"So"),COUNTIF(Tabelle1[Spalte280],"")-1,"")))</f>
        <v>2</v>
      </c>
      <c r="JY11" s="55">
        <f ca="1">IF(IF(AND(JY4&lt;=TODAY(),JY5&lt;&gt;"Sa",JY5&lt;&gt;"So"),COUNTIF(Tabelle1[Spalte281],"A"),IF(AND(JY5&lt;&gt;"Sa",JY5&lt;&gt;"So"),COUNTIF(Tabelle1[Spalte281],"")-1,""))&lt;0,0,IF(AND(JY4&lt;=TODAY(),JY5&lt;&gt;"Sa",JY5&lt;&gt;"So"),COUNTIF(Tabelle1[Spalte281],"A"),IF(AND(JY5&lt;&gt;"Sa",JY5&lt;&gt;"So"),COUNTIF(Tabelle1[Spalte281],"")-1,"")))</f>
        <v>2</v>
      </c>
      <c r="JZ11" s="55">
        <f ca="1">IF(IF(AND(JZ4&lt;=TODAY(),JZ5&lt;&gt;"Sa",JZ5&lt;&gt;"So"),COUNTIF(Tabelle1[Spalte282],"A"),IF(AND(JZ5&lt;&gt;"Sa",JZ5&lt;&gt;"So"),COUNTIF(Tabelle1[Spalte282],"")-1,""))&lt;0,0,IF(AND(JZ4&lt;=TODAY(),JZ5&lt;&gt;"Sa",JZ5&lt;&gt;"So"),COUNTIF(Tabelle1[Spalte282],"A"),IF(AND(JZ5&lt;&gt;"Sa",JZ5&lt;&gt;"So"),COUNTIF(Tabelle1[Spalte282],"")-1,"")))</f>
        <v>2</v>
      </c>
      <c r="KA11" s="55">
        <f ca="1">IF(IF(AND(KA4&lt;=TODAY(),KA5&lt;&gt;"Sa",KA5&lt;&gt;"So"),COUNTIF(Tabelle1[Spalte283],"A"),IF(AND(KA5&lt;&gt;"Sa",KA5&lt;&gt;"So"),COUNTIF(Tabelle1[Spalte283],"")-1,""))&lt;0,0,IF(AND(KA4&lt;=TODAY(),KA5&lt;&gt;"Sa",KA5&lt;&gt;"So"),COUNTIF(Tabelle1[Spalte283],"A"),IF(AND(KA5&lt;&gt;"Sa",KA5&lt;&gt;"So"),COUNTIF(Tabelle1[Spalte283],"")-1,"")))</f>
        <v>2</v>
      </c>
      <c r="KB11" s="55" t="str">
        <f ca="1">IF(IF(AND(KB4&lt;=TODAY(),KB5&lt;&gt;"Sa",KB5&lt;&gt;"So"),COUNTIF(Tabelle1[Spalte284],"A"),IF(AND(KB5&lt;&gt;"Sa",KB5&lt;&gt;"So"),COUNTIF(Tabelle1[Spalte284],"")-1,""))&lt;0,0,IF(AND(KB4&lt;=TODAY(),KB5&lt;&gt;"Sa",KB5&lt;&gt;"So"),COUNTIF(Tabelle1[Spalte284],"A"),IF(AND(KB5&lt;&gt;"Sa",KB5&lt;&gt;"So"),COUNTIF(Tabelle1[Spalte284],"")-1,"")))</f>
        <v/>
      </c>
      <c r="KC11" s="55" t="str">
        <f ca="1">IF(IF(AND(KC4&lt;=TODAY(),KC5&lt;&gt;"Sa",KC5&lt;&gt;"So"),COUNTIF(Tabelle1[Spalte285],"A"),IF(AND(KC5&lt;&gt;"Sa",KC5&lt;&gt;"So"),COUNTIF(Tabelle1[Spalte285],"")-1,""))&lt;0,0,IF(AND(KC4&lt;=TODAY(),KC5&lt;&gt;"Sa",KC5&lt;&gt;"So"),COUNTIF(Tabelle1[Spalte285],"A"),IF(AND(KC5&lt;&gt;"Sa",KC5&lt;&gt;"So"),COUNTIF(Tabelle1[Spalte285],"")-1,"")))</f>
        <v/>
      </c>
      <c r="KD11" s="55">
        <f ca="1">IF(IF(AND(KD4&lt;=TODAY(),KD5&lt;&gt;"Sa",KD5&lt;&gt;"So"),COUNTIF(Tabelle1[Spalte286],"A"),IF(AND(KD5&lt;&gt;"Sa",KD5&lt;&gt;"So"),COUNTIF(Tabelle1[Spalte286],"")-1,""))&lt;0,0,IF(AND(KD4&lt;=TODAY(),KD5&lt;&gt;"Sa",KD5&lt;&gt;"So"),COUNTIF(Tabelle1[Spalte286],"A"),IF(AND(KD5&lt;&gt;"Sa",KD5&lt;&gt;"So"),COUNTIF(Tabelle1[Spalte286],"")-1,"")))</f>
        <v>2</v>
      </c>
      <c r="KE11" s="55">
        <f ca="1">IF(IF(AND(KE4&lt;=TODAY(),KE5&lt;&gt;"Sa",KE5&lt;&gt;"So"),COUNTIF(Tabelle1[Spalte287],"A"),IF(AND(KE5&lt;&gt;"Sa",KE5&lt;&gt;"So"),COUNTIF(Tabelle1[Spalte287],"")-1,""))&lt;0,0,IF(AND(KE4&lt;=TODAY(),KE5&lt;&gt;"Sa",KE5&lt;&gt;"So"),COUNTIF(Tabelle1[Spalte287],"A"),IF(AND(KE5&lt;&gt;"Sa",KE5&lt;&gt;"So"),COUNTIF(Tabelle1[Spalte287],"")-1,"")))</f>
        <v>2</v>
      </c>
      <c r="KF11" s="55">
        <f ca="1">IF(IF(AND(KF4&lt;=TODAY(),KF5&lt;&gt;"Sa",KF5&lt;&gt;"So"),COUNTIF(Tabelle1[Spalte288],"A"),IF(AND(KF5&lt;&gt;"Sa",KF5&lt;&gt;"So"),COUNTIF(Tabelle1[Spalte288],"")-1,""))&lt;0,0,IF(AND(KF4&lt;=TODAY(),KF5&lt;&gt;"Sa",KF5&lt;&gt;"So"),COUNTIF(Tabelle1[Spalte288],"A"),IF(AND(KF5&lt;&gt;"Sa",KF5&lt;&gt;"So"),COUNTIF(Tabelle1[Spalte288],"")-1,"")))</f>
        <v>2</v>
      </c>
      <c r="KG11" s="55">
        <f ca="1">IF(IF(AND(KG4&lt;=TODAY(),KG5&lt;&gt;"Sa",KG5&lt;&gt;"So"),COUNTIF(Tabelle1[Spalte289],"A"),IF(AND(KG5&lt;&gt;"Sa",KG5&lt;&gt;"So"),COUNTIF(Tabelle1[Spalte289],"")-1,""))&lt;0,0,IF(AND(KG4&lt;=TODAY(),KG5&lt;&gt;"Sa",KG5&lt;&gt;"So"),COUNTIF(Tabelle1[Spalte289],"A"),IF(AND(KG5&lt;&gt;"Sa",KG5&lt;&gt;"So"),COUNTIF(Tabelle1[Spalte289],"")-1,"")))</f>
        <v>2</v>
      </c>
      <c r="KH11" s="55">
        <f ca="1">IF(IF(AND(KH4&lt;=TODAY(),KH5&lt;&gt;"Sa",KH5&lt;&gt;"So"),COUNTIF(Tabelle1[Spalte290],"A"),IF(AND(KH5&lt;&gt;"Sa",KH5&lt;&gt;"So"),COUNTIF(Tabelle1[Spalte290],"")-1,""))&lt;0,0,IF(AND(KH4&lt;=TODAY(),KH5&lt;&gt;"Sa",KH5&lt;&gt;"So"),COUNTIF(Tabelle1[Spalte290],"A"),IF(AND(KH5&lt;&gt;"Sa",KH5&lt;&gt;"So"),COUNTIF(Tabelle1[Spalte290],"")-1,"")))</f>
        <v>2</v>
      </c>
      <c r="KI11" s="55" t="str">
        <f ca="1">IF(IF(AND(KI4&lt;=TODAY(),KI5&lt;&gt;"Sa",KI5&lt;&gt;"So"),COUNTIF(Tabelle1[Spalte291],"A"),IF(AND(KI5&lt;&gt;"Sa",KI5&lt;&gt;"So"),COUNTIF(Tabelle1[Spalte291],"")-1,""))&lt;0,0,IF(AND(KI4&lt;=TODAY(),KI5&lt;&gt;"Sa",KI5&lt;&gt;"So"),COUNTIF(Tabelle1[Spalte291],"A"),IF(AND(KI5&lt;&gt;"Sa",KI5&lt;&gt;"So"),COUNTIF(Tabelle1[Spalte291],"")-1,"")))</f>
        <v/>
      </c>
      <c r="KJ11" s="55" t="str">
        <f ca="1">IF(IF(AND(KJ4&lt;=TODAY(),KJ5&lt;&gt;"Sa",KJ5&lt;&gt;"So"),COUNTIF(Tabelle1[Spalte292],"A"),IF(AND(KJ5&lt;&gt;"Sa",KJ5&lt;&gt;"So"),COUNTIF(Tabelle1[Spalte292],"")-1,""))&lt;0,0,IF(AND(KJ4&lt;=TODAY(),KJ5&lt;&gt;"Sa",KJ5&lt;&gt;"So"),COUNTIF(Tabelle1[Spalte292],"A"),IF(AND(KJ5&lt;&gt;"Sa",KJ5&lt;&gt;"So"),COUNTIF(Tabelle1[Spalte292],"")-1,"")))</f>
        <v/>
      </c>
      <c r="KK11" s="55">
        <f ca="1">IF(IF(AND(KK4&lt;=TODAY(),KK5&lt;&gt;"Sa",KK5&lt;&gt;"So"),COUNTIF(Tabelle1[Spalte293],"A"),IF(AND(KK5&lt;&gt;"Sa",KK5&lt;&gt;"So"),COUNTIF(Tabelle1[Spalte293],"")-1,""))&lt;0,0,IF(AND(KK4&lt;=TODAY(),KK5&lt;&gt;"Sa",KK5&lt;&gt;"So"),COUNTIF(Tabelle1[Spalte293],"A"),IF(AND(KK5&lt;&gt;"Sa",KK5&lt;&gt;"So"),COUNTIF(Tabelle1[Spalte293],"")-1,"")))</f>
        <v>2</v>
      </c>
      <c r="KL11" s="55">
        <f ca="1">IF(IF(AND(KL4&lt;=TODAY(),KL5&lt;&gt;"Sa",KL5&lt;&gt;"So"),COUNTIF(Tabelle1[Spalte294],"A"),IF(AND(KL5&lt;&gt;"Sa",KL5&lt;&gt;"So"),COUNTIF(Tabelle1[Spalte294],"")-1,""))&lt;0,0,IF(AND(KL4&lt;=TODAY(),KL5&lt;&gt;"Sa",KL5&lt;&gt;"So"),COUNTIF(Tabelle1[Spalte294],"A"),IF(AND(KL5&lt;&gt;"Sa",KL5&lt;&gt;"So"),COUNTIF(Tabelle1[Spalte294],"")-1,"")))</f>
        <v>2</v>
      </c>
      <c r="KM11" s="55">
        <f ca="1">IF(IF(AND(KM4&lt;=TODAY(),KM5&lt;&gt;"Sa",KM5&lt;&gt;"So"),COUNTIF(Tabelle1[Spalte295],"A"),IF(AND(KM5&lt;&gt;"Sa",KM5&lt;&gt;"So"),COUNTIF(Tabelle1[Spalte295],"")-1,""))&lt;0,0,IF(AND(KM4&lt;=TODAY(),KM5&lt;&gt;"Sa",KM5&lt;&gt;"So"),COUNTIF(Tabelle1[Spalte295],"A"),IF(AND(KM5&lt;&gt;"Sa",KM5&lt;&gt;"So"),COUNTIF(Tabelle1[Spalte295],"")-1,"")))</f>
        <v>2</v>
      </c>
      <c r="KN11" s="55">
        <f ca="1">IF(IF(AND(KN4&lt;=TODAY(),KN5&lt;&gt;"Sa",KN5&lt;&gt;"So"),COUNTIF(Tabelle1[Spalte296],"A"),IF(AND(KN5&lt;&gt;"Sa",KN5&lt;&gt;"So"),COUNTIF(Tabelle1[Spalte296],"")-1,""))&lt;0,0,IF(AND(KN4&lt;=TODAY(),KN5&lt;&gt;"Sa",KN5&lt;&gt;"So"),COUNTIF(Tabelle1[Spalte296],"A"),IF(AND(KN5&lt;&gt;"Sa",KN5&lt;&gt;"So"),COUNTIF(Tabelle1[Spalte296],"")-1,"")))</f>
        <v>2</v>
      </c>
      <c r="KO11" s="55">
        <f ca="1">IF(IF(AND(KO4&lt;=TODAY(),KO5&lt;&gt;"Sa",KO5&lt;&gt;"So"),COUNTIF(Tabelle1[Spalte297],"A"),IF(AND(KO5&lt;&gt;"Sa",KO5&lt;&gt;"So"),COUNTIF(Tabelle1[Spalte297],"")-1,""))&lt;0,0,IF(AND(KO4&lt;=TODAY(),KO5&lt;&gt;"Sa",KO5&lt;&gt;"So"),COUNTIF(Tabelle1[Spalte297],"A"),IF(AND(KO5&lt;&gt;"Sa",KO5&lt;&gt;"So"),COUNTIF(Tabelle1[Spalte297],"")-1,"")))</f>
        <v>2</v>
      </c>
      <c r="KP11" s="55" t="str">
        <f ca="1">IF(IF(AND(KP4&lt;=TODAY(),KP5&lt;&gt;"Sa",KP5&lt;&gt;"So"),COUNTIF(Tabelle1[Spalte298],"A"),IF(AND(KP5&lt;&gt;"Sa",KP5&lt;&gt;"So"),COUNTIF(Tabelle1[Spalte298],"")-1,""))&lt;0,0,IF(AND(KP4&lt;=TODAY(),KP5&lt;&gt;"Sa",KP5&lt;&gt;"So"),COUNTIF(Tabelle1[Spalte298],"A"),IF(AND(KP5&lt;&gt;"Sa",KP5&lt;&gt;"So"),COUNTIF(Tabelle1[Spalte298],"")-1,"")))</f>
        <v/>
      </c>
      <c r="KQ11" s="55" t="str">
        <f ca="1">IF(IF(AND(KQ4&lt;=TODAY(),KQ5&lt;&gt;"Sa",KQ5&lt;&gt;"So"),COUNTIF(Tabelle1[Spalte299],"A"),IF(AND(KQ5&lt;&gt;"Sa",KQ5&lt;&gt;"So"),COUNTIF(Tabelle1[Spalte299],"")-1,""))&lt;0,0,IF(AND(KQ4&lt;=TODAY(),KQ5&lt;&gt;"Sa",KQ5&lt;&gt;"So"),COUNTIF(Tabelle1[Spalte299],"A"),IF(AND(KQ5&lt;&gt;"Sa",KQ5&lt;&gt;"So"),COUNTIF(Tabelle1[Spalte299],"")-1,"")))</f>
        <v/>
      </c>
      <c r="KR11" s="55">
        <f ca="1">IF(IF(AND(KR4&lt;=TODAY(),KR5&lt;&gt;"Sa",KR5&lt;&gt;"So"),COUNTIF(Tabelle1[Spalte300],"A"),IF(AND(KR5&lt;&gt;"Sa",KR5&lt;&gt;"So"),COUNTIF(Tabelle1[Spalte300],"")-1,""))&lt;0,0,IF(AND(KR4&lt;=TODAY(),KR5&lt;&gt;"Sa",KR5&lt;&gt;"So"),COUNTIF(Tabelle1[Spalte300],"A"),IF(AND(KR5&lt;&gt;"Sa",KR5&lt;&gt;"So"),COUNTIF(Tabelle1[Spalte300],"")-1,"")))</f>
        <v>2</v>
      </c>
      <c r="KS11" s="55">
        <f ca="1">IF(IF(AND(KS4&lt;=TODAY(),KS5&lt;&gt;"Sa",KS5&lt;&gt;"So"),COUNTIF(Tabelle1[Spalte301],"A"),IF(AND(KS5&lt;&gt;"Sa",KS5&lt;&gt;"So"),COUNTIF(Tabelle1[Spalte301],"")-1,""))&lt;0,0,IF(AND(KS4&lt;=TODAY(),KS5&lt;&gt;"Sa",KS5&lt;&gt;"So"),COUNTIF(Tabelle1[Spalte301],"A"),IF(AND(KS5&lt;&gt;"Sa",KS5&lt;&gt;"So"),COUNTIF(Tabelle1[Spalte301],"")-1,"")))</f>
        <v>2</v>
      </c>
      <c r="KT11" s="55">
        <f ca="1">IF(IF(AND(KT4&lt;=TODAY(),KT5&lt;&gt;"Sa",KT5&lt;&gt;"So"),COUNTIF(Tabelle1[Spalte302],"A"),IF(AND(KT5&lt;&gt;"Sa",KT5&lt;&gt;"So"),COUNTIF(Tabelle1[Spalte302],"")-1,""))&lt;0,0,IF(AND(KT4&lt;=TODAY(),KT5&lt;&gt;"Sa",KT5&lt;&gt;"So"),COUNTIF(Tabelle1[Spalte302],"A"),IF(AND(KT5&lt;&gt;"Sa",KT5&lt;&gt;"So"),COUNTIF(Tabelle1[Spalte302],"")-1,"")))</f>
        <v>2</v>
      </c>
      <c r="KU11" s="55">
        <f ca="1">IF(IF(AND(KU4&lt;=TODAY(),KU5&lt;&gt;"Sa",KU5&lt;&gt;"So"),COUNTIF(Tabelle1[Spalte303],"A"),IF(AND(KU5&lt;&gt;"Sa",KU5&lt;&gt;"So"),COUNTIF(Tabelle1[Spalte303],"")-1,""))&lt;0,0,IF(AND(KU4&lt;=TODAY(),KU5&lt;&gt;"Sa",KU5&lt;&gt;"So"),COUNTIF(Tabelle1[Spalte303],"A"),IF(AND(KU5&lt;&gt;"Sa",KU5&lt;&gt;"So"),COUNTIF(Tabelle1[Spalte303],"")-1,"")))</f>
        <v>2</v>
      </c>
      <c r="KV11" s="55">
        <f ca="1">IF(IF(AND(KV4&lt;=TODAY(),KV5&lt;&gt;"Sa",KV5&lt;&gt;"So"),COUNTIF(Tabelle1[Spalte304],"A"),IF(AND(KV5&lt;&gt;"Sa",KV5&lt;&gt;"So"),COUNTIF(Tabelle1[Spalte304],"")-1,""))&lt;0,0,IF(AND(KV4&lt;=TODAY(),KV5&lt;&gt;"Sa",KV5&lt;&gt;"So"),COUNTIF(Tabelle1[Spalte304],"A"),IF(AND(KV5&lt;&gt;"Sa",KV5&lt;&gt;"So"),COUNTIF(Tabelle1[Spalte304],"")-1,"")))</f>
        <v>2</v>
      </c>
      <c r="KW11" s="55" t="str">
        <f ca="1">IF(IF(AND(KW4&lt;=TODAY(),KW5&lt;&gt;"Sa",KW5&lt;&gt;"So"),COUNTIF(Tabelle1[Spalte305],"A"),IF(AND(KW5&lt;&gt;"Sa",KW5&lt;&gt;"So"),COUNTIF(Tabelle1[Spalte305],"")-1,""))&lt;0,0,IF(AND(KW4&lt;=TODAY(),KW5&lt;&gt;"Sa",KW5&lt;&gt;"So"),COUNTIF(Tabelle1[Spalte305],"A"),IF(AND(KW5&lt;&gt;"Sa",KW5&lt;&gt;"So"),COUNTIF(Tabelle1[Spalte305],"")-1,"")))</f>
        <v/>
      </c>
      <c r="KX11" s="55" t="str">
        <f ca="1">IF(IF(AND(KX4&lt;=TODAY(),KX5&lt;&gt;"Sa",KX5&lt;&gt;"So"),COUNTIF(Tabelle1[Spalte306],"A"),IF(AND(KX5&lt;&gt;"Sa",KX5&lt;&gt;"So"),COUNTIF(Tabelle1[Spalte306],"")-1,""))&lt;0,0,IF(AND(KX4&lt;=TODAY(),KX5&lt;&gt;"Sa",KX5&lt;&gt;"So"),COUNTIF(Tabelle1[Spalte306],"A"),IF(AND(KX5&lt;&gt;"Sa",KX5&lt;&gt;"So"),COUNTIF(Tabelle1[Spalte306],"")-1,"")))</f>
        <v/>
      </c>
      <c r="KY11" s="55">
        <f ca="1">IF(IF(AND(KY4&lt;=TODAY(),KY5&lt;&gt;"Sa",KY5&lt;&gt;"So"),COUNTIF(Tabelle1[Spalte307],"A"),IF(AND(KY5&lt;&gt;"Sa",KY5&lt;&gt;"So"),COUNTIF(Tabelle1[Spalte307],"")-1,""))&lt;0,0,IF(AND(KY4&lt;=TODAY(),KY5&lt;&gt;"Sa",KY5&lt;&gt;"So"),COUNTIF(Tabelle1[Spalte307],"A"),IF(AND(KY5&lt;&gt;"Sa",KY5&lt;&gt;"So"),COUNTIF(Tabelle1[Spalte307],"")-1,"")))</f>
        <v>2</v>
      </c>
      <c r="KZ11" s="55">
        <f ca="1">IF(IF(AND(KZ4&lt;=TODAY(),KZ5&lt;&gt;"Sa",KZ5&lt;&gt;"So"),COUNTIF(Tabelle1[Spalte308],"A"),IF(AND(KZ5&lt;&gt;"Sa",KZ5&lt;&gt;"So"),COUNTIF(Tabelle1[Spalte308],"")-1,""))&lt;0,0,IF(AND(KZ4&lt;=TODAY(),KZ5&lt;&gt;"Sa",KZ5&lt;&gt;"So"),COUNTIF(Tabelle1[Spalte308],"A"),IF(AND(KZ5&lt;&gt;"Sa",KZ5&lt;&gt;"So"),COUNTIF(Tabelle1[Spalte308],"")-1,"")))</f>
        <v>2</v>
      </c>
      <c r="LA11" s="55">
        <f ca="1">IF(IF(AND(LA4&lt;=TODAY(),LA5&lt;&gt;"Sa",LA5&lt;&gt;"So"),COUNTIF(Tabelle1[Spalte309],"A"),IF(AND(LA5&lt;&gt;"Sa",LA5&lt;&gt;"So"),COUNTIF(Tabelle1[Spalte309],"")-1,""))&lt;0,0,IF(AND(LA4&lt;=TODAY(),LA5&lt;&gt;"Sa",LA5&lt;&gt;"So"),COUNTIF(Tabelle1[Spalte309],"A"),IF(AND(LA5&lt;&gt;"Sa",LA5&lt;&gt;"So"),COUNTIF(Tabelle1[Spalte309],"")-1,"")))</f>
        <v>2</v>
      </c>
      <c r="LB11" s="55">
        <f ca="1">IF(IF(AND(LB4&lt;=TODAY(),LB5&lt;&gt;"Sa",LB5&lt;&gt;"So"),COUNTIF(Tabelle1[Spalte310],"A"),IF(AND(LB5&lt;&gt;"Sa",LB5&lt;&gt;"So"),COUNTIF(Tabelle1[Spalte310],"")-1,""))&lt;0,0,IF(AND(LB4&lt;=TODAY(),LB5&lt;&gt;"Sa",LB5&lt;&gt;"So"),COUNTIF(Tabelle1[Spalte310],"A"),IF(AND(LB5&lt;&gt;"Sa",LB5&lt;&gt;"So"),COUNTIF(Tabelle1[Spalte310],"")-1,"")))</f>
        <v>2</v>
      </c>
      <c r="LC11" s="55">
        <f ca="1">IF(IF(AND(LC4&lt;=TODAY(),LC5&lt;&gt;"Sa",LC5&lt;&gt;"So"),COUNTIF(Tabelle1[Spalte311],"A"),IF(AND(LC5&lt;&gt;"Sa",LC5&lt;&gt;"So"),COUNTIF(Tabelle1[Spalte311],"")-1,""))&lt;0,0,IF(AND(LC4&lt;=TODAY(),LC5&lt;&gt;"Sa",LC5&lt;&gt;"So"),COUNTIF(Tabelle1[Spalte311],"A"),IF(AND(LC5&lt;&gt;"Sa",LC5&lt;&gt;"So"),COUNTIF(Tabelle1[Spalte311],"")-1,"")))</f>
        <v>2</v>
      </c>
      <c r="LD11" s="55" t="str">
        <f ca="1">IF(IF(AND(LD4&lt;=TODAY(),LD5&lt;&gt;"Sa",LD5&lt;&gt;"So"),COUNTIF(Tabelle1[Spalte312],"A"),IF(AND(LD5&lt;&gt;"Sa",LD5&lt;&gt;"So"),COUNTIF(Tabelle1[Spalte312],"")-1,""))&lt;0,0,IF(AND(LD4&lt;=TODAY(),LD5&lt;&gt;"Sa",LD5&lt;&gt;"So"),COUNTIF(Tabelle1[Spalte312],"A"),IF(AND(LD5&lt;&gt;"Sa",LD5&lt;&gt;"So"),COUNTIF(Tabelle1[Spalte312],"")-1,"")))</f>
        <v/>
      </c>
      <c r="LE11" s="55" t="str">
        <f ca="1">IF(IF(AND(LE4&lt;=TODAY(),LE5&lt;&gt;"Sa",LE5&lt;&gt;"So"),COUNTIF(Tabelle1[Spalte313],"A"),IF(AND(LE5&lt;&gt;"Sa",LE5&lt;&gt;"So"),COUNTIF(Tabelle1[Spalte313],"")-1,""))&lt;0,0,IF(AND(LE4&lt;=TODAY(),LE5&lt;&gt;"Sa",LE5&lt;&gt;"So"),COUNTIF(Tabelle1[Spalte313],"A"),IF(AND(LE5&lt;&gt;"Sa",LE5&lt;&gt;"So"),COUNTIF(Tabelle1[Spalte313],"")-1,"")))</f>
        <v/>
      </c>
      <c r="LF11" s="55">
        <f ca="1">IF(IF(AND(LF4&lt;=TODAY(),LF5&lt;&gt;"Sa",LF5&lt;&gt;"So"),COUNTIF(Tabelle1[Spalte314],"A"),IF(AND(LF5&lt;&gt;"Sa",LF5&lt;&gt;"So"),COUNTIF(Tabelle1[Spalte314],"")-1,""))&lt;0,0,IF(AND(LF4&lt;=TODAY(),LF5&lt;&gt;"Sa",LF5&lt;&gt;"So"),COUNTIF(Tabelle1[Spalte314],"A"),IF(AND(LF5&lt;&gt;"Sa",LF5&lt;&gt;"So"),COUNTIF(Tabelle1[Spalte314],"")-1,"")))</f>
        <v>2</v>
      </c>
      <c r="LG11" s="55">
        <f ca="1">IF(IF(AND(LG4&lt;=TODAY(),LG5&lt;&gt;"Sa",LG5&lt;&gt;"So"),COUNTIF(Tabelle1[Spalte315],"A"),IF(AND(LG5&lt;&gt;"Sa",LG5&lt;&gt;"So"),COUNTIF(Tabelle1[Spalte315],"")-1,""))&lt;0,0,IF(AND(LG4&lt;=TODAY(),LG5&lt;&gt;"Sa",LG5&lt;&gt;"So"),COUNTIF(Tabelle1[Spalte315],"A"),IF(AND(LG5&lt;&gt;"Sa",LG5&lt;&gt;"So"),COUNTIF(Tabelle1[Spalte315],"")-1,"")))</f>
        <v>2</v>
      </c>
      <c r="LH11" s="55">
        <f ca="1">IF(IF(AND(LH4&lt;=TODAY(),LH5&lt;&gt;"Sa",LH5&lt;&gt;"So"),COUNTIF(Tabelle1[Spalte316],"A"),IF(AND(LH5&lt;&gt;"Sa",LH5&lt;&gt;"So"),COUNTIF(Tabelle1[Spalte316],"")-1,""))&lt;0,0,IF(AND(LH4&lt;=TODAY(),LH5&lt;&gt;"Sa",LH5&lt;&gt;"So"),COUNTIF(Tabelle1[Spalte316],"A"),IF(AND(LH5&lt;&gt;"Sa",LH5&lt;&gt;"So"),COUNTIF(Tabelle1[Spalte316],"")-1,"")))</f>
        <v>2</v>
      </c>
      <c r="LI11" s="55">
        <f ca="1">IF(IF(AND(LI4&lt;=TODAY(),LI5&lt;&gt;"Sa",LI5&lt;&gt;"So"),COUNTIF(Tabelle1[Spalte317],"A"),IF(AND(LI5&lt;&gt;"Sa",LI5&lt;&gt;"So"),COUNTIF(Tabelle1[Spalte317],"")-1,""))&lt;0,0,IF(AND(LI4&lt;=TODAY(),LI5&lt;&gt;"Sa",LI5&lt;&gt;"So"),COUNTIF(Tabelle1[Spalte317],"A"),IF(AND(LI5&lt;&gt;"Sa",LI5&lt;&gt;"So"),COUNTIF(Tabelle1[Spalte317],"")-1,"")))</f>
        <v>2</v>
      </c>
      <c r="LJ11" s="55">
        <f ca="1">IF(IF(AND(LJ4&lt;=TODAY(),LJ5&lt;&gt;"Sa",LJ5&lt;&gt;"So"),COUNTIF(Tabelle1[Spalte318],"A"),IF(AND(LJ5&lt;&gt;"Sa",LJ5&lt;&gt;"So"),COUNTIF(Tabelle1[Spalte318],"")-1,""))&lt;0,0,IF(AND(LJ4&lt;=TODAY(),LJ5&lt;&gt;"Sa",LJ5&lt;&gt;"So"),COUNTIF(Tabelle1[Spalte318],"A"),IF(AND(LJ5&lt;&gt;"Sa",LJ5&lt;&gt;"So"),COUNTIF(Tabelle1[Spalte318],"")-1,"")))</f>
        <v>2</v>
      </c>
      <c r="LK11" s="55" t="str">
        <f ca="1">IF(IF(AND(LK4&lt;=TODAY(),LK5&lt;&gt;"Sa",LK5&lt;&gt;"So"),COUNTIF(Tabelle1[Spalte319],"A"),IF(AND(LK5&lt;&gt;"Sa",LK5&lt;&gt;"So"),COUNTIF(Tabelle1[Spalte319],"")-1,""))&lt;0,0,IF(AND(LK4&lt;=TODAY(),LK5&lt;&gt;"Sa",LK5&lt;&gt;"So"),COUNTIF(Tabelle1[Spalte319],"A"),IF(AND(LK5&lt;&gt;"Sa",LK5&lt;&gt;"So"),COUNTIF(Tabelle1[Spalte319],"")-1,"")))</f>
        <v/>
      </c>
      <c r="LL11" s="55" t="str">
        <f ca="1">IF(IF(AND(LL4&lt;=TODAY(),LL5&lt;&gt;"Sa",LL5&lt;&gt;"So"),COUNTIF(Tabelle1[Spalte320],"A"),IF(AND(LL5&lt;&gt;"Sa",LL5&lt;&gt;"So"),COUNTIF(Tabelle1[Spalte320],"")-1,""))&lt;0,0,IF(AND(LL4&lt;=TODAY(),LL5&lt;&gt;"Sa",LL5&lt;&gt;"So"),COUNTIF(Tabelle1[Spalte320],"A"),IF(AND(LL5&lt;&gt;"Sa",LL5&lt;&gt;"So"),COUNTIF(Tabelle1[Spalte320],"")-1,"")))</f>
        <v/>
      </c>
      <c r="LM11" s="55">
        <f ca="1">IF(IF(AND(LM4&lt;=TODAY(),LM5&lt;&gt;"Sa",LM5&lt;&gt;"So"),COUNTIF(Tabelle1[Spalte321],"A"),IF(AND(LM5&lt;&gt;"Sa",LM5&lt;&gt;"So"),COUNTIF(Tabelle1[Spalte321],"")-1,""))&lt;0,0,IF(AND(LM4&lt;=TODAY(),LM5&lt;&gt;"Sa",LM5&lt;&gt;"So"),COUNTIF(Tabelle1[Spalte321],"A"),IF(AND(LM5&lt;&gt;"Sa",LM5&lt;&gt;"So"),COUNTIF(Tabelle1[Spalte321],"")-1,"")))</f>
        <v>2</v>
      </c>
      <c r="LN11" s="55">
        <f ca="1">IF(IF(AND(LN4&lt;=TODAY(),LN5&lt;&gt;"Sa",LN5&lt;&gt;"So"),COUNTIF(Tabelle1[Spalte322],"A"),IF(AND(LN5&lt;&gt;"Sa",LN5&lt;&gt;"So"),COUNTIF(Tabelle1[Spalte322],"")-1,""))&lt;0,0,IF(AND(LN4&lt;=TODAY(),LN5&lt;&gt;"Sa",LN5&lt;&gt;"So"),COUNTIF(Tabelle1[Spalte322],"A"),IF(AND(LN5&lt;&gt;"Sa",LN5&lt;&gt;"So"),COUNTIF(Tabelle1[Spalte322],"")-1,"")))</f>
        <v>2</v>
      </c>
      <c r="LO11" s="55">
        <f ca="1">IF(IF(AND(LO4&lt;=TODAY(),LO5&lt;&gt;"Sa",LO5&lt;&gt;"So"),COUNTIF(Tabelle1[Spalte323],"A"),IF(AND(LO5&lt;&gt;"Sa",LO5&lt;&gt;"So"),COUNTIF(Tabelle1[Spalte323],"")-1,""))&lt;0,0,IF(AND(LO4&lt;=TODAY(),LO5&lt;&gt;"Sa",LO5&lt;&gt;"So"),COUNTIF(Tabelle1[Spalte323],"A"),IF(AND(LO5&lt;&gt;"Sa",LO5&lt;&gt;"So"),COUNTIF(Tabelle1[Spalte323],"")-1,"")))</f>
        <v>2</v>
      </c>
      <c r="LP11" s="55">
        <f ca="1">IF(IF(AND(LP4&lt;=TODAY(),LP5&lt;&gt;"Sa",LP5&lt;&gt;"So"),COUNTIF(Tabelle1[Spalte324],"A"),IF(AND(LP5&lt;&gt;"Sa",LP5&lt;&gt;"So"),COUNTIF(Tabelle1[Spalte324],"")-1,""))&lt;0,0,IF(AND(LP4&lt;=TODAY(),LP5&lt;&gt;"Sa",LP5&lt;&gt;"So"),COUNTIF(Tabelle1[Spalte324],"A"),IF(AND(LP5&lt;&gt;"Sa",LP5&lt;&gt;"So"),COUNTIF(Tabelle1[Spalte324],"")-1,"")))</f>
        <v>2</v>
      </c>
      <c r="LQ11" s="55">
        <f ca="1">IF(IF(AND(LQ4&lt;=TODAY(),LQ5&lt;&gt;"Sa",LQ5&lt;&gt;"So"),COUNTIF(Tabelle1[Spalte325],"A"),IF(AND(LQ5&lt;&gt;"Sa",LQ5&lt;&gt;"So"),COUNTIF(Tabelle1[Spalte325],"")-1,""))&lt;0,0,IF(AND(LQ4&lt;=TODAY(),LQ5&lt;&gt;"Sa",LQ5&lt;&gt;"So"),COUNTIF(Tabelle1[Spalte325],"A"),IF(AND(LQ5&lt;&gt;"Sa",LQ5&lt;&gt;"So"),COUNTIF(Tabelle1[Spalte325],"")-1,"")))</f>
        <v>2</v>
      </c>
      <c r="LR11" s="55" t="str">
        <f ca="1">IF(IF(AND(LR4&lt;=TODAY(),LR5&lt;&gt;"Sa",LR5&lt;&gt;"So"),COUNTIF(Tabelle1[Spalte326],"A"),IF(AND(LR5&lt;&gt;"Sa",LR5&lt;&gt;"So"),COUNTIF(Tabelle1[Spalte326],"")-1,""))&lt;0,0,IF(AND(LR4&lt;=TODAY(),LR5&lt;&gt;"Sa",LR5&lt;&gt;"So"),COUNTIF(Tabelle1[Spalte326],"A"),IF(AND(LR5&lt;&gt;"Sa",LR5&lt;&gt;"So"),COUNTIF(Tabelle1[Spalte326],"")-1,"")))</f>
        <v/>
      </c>
      <c r="LS11" s="55" t="str">
        <f ca="1">IF(IF(AND(LS4&lt;=TODAY(),LS5&lt;&gt;"Sa",LS5&lt;&gt;"So"),COUNTIF(Tabelle1[Spalte327],"A"),IF(AND(LS5&lt;&gt;"Sa",LS5&lt;&gt;"So"),COUNTIF(Tabelle1[Spalte327],"")-1,""))&lt;0,0,IF(AND(LS4&lt;=TODAY(),LS5&lt;&gt;"Sa",LS5&lt;&gt;"So"),COUNTIF(Tabelle1[Spalte327],"A"),IF(AND(LS5&lt;&gt;"Sa",LS5&lt;&gt;"So"),COUNTIF(Tabelle1[Spalte327],"")-1,"")))</f>
        <v/>
      </c>
      <c r="LT11" s="55">
        <f ca="1">IF(IF(AND(LT4&lt;=TODAY(),LT5&lt;&gt;"Sa",LT5&lt;&gt;"So"),COUNTIF(Tabelle1[Spalte328],"A"),IF(AND(LT5&lt;&gt;"Sa",LT5&lt;&gt;"So"),COUNTIF(Tabelle1[Spalte328],"")-1,""))&lt;0,0,IF(AND(LT4&lt;=TODAY(),LT5&lt;&gt;"Sa",LT5&lt;&gt;"So"),COUNTIF(Tabelle1[Spalte328],"A"),IF(AND(LT5&lt;&gt;"Sa",LT5&lt;&gt;"So"),COUNTIF(Tabelle1[Spalte328],"")-1,"")))</f>
        <v>2</v>
      </c>
      <c r="LU11" s="55">
        <f ca="1">IF(IF(AND(LU4&lt;=TODAY(),LU5&lt;&gt;"Sa",LU5&lt;&gt;"So"),COUNTIF(Tabelle1[Spalte329],"A"),IF(AND(LU5&lt;&gt;"Sa",LU5&lt;&gt;"So"),COUNTIF(Tabelle1[Spalte329],"")-1,""))&lt;0,0,IF(AND(LU4&lt;=TODAY(),LU5&lt;&gt;"Sa",LU5&lt;&gt;"So"),COUNTIF(Tabelle1[Spalte329],"A"),IF(AND(LU5&lt;&gt;"Sa",LU5&lt;&gt;"So"),COUNTIF(Tabelle1[Spalte329],"")-1,"")))</f>
        <v>2</v>
      </c>
      <c r="LV11" s="55">
        <f ca="1">IF(IF(AND(LV4&lt;=TODAY(),LV5&lt;&gt;"Sa",LV5&lt;&gt;"So"),COUNTIF(Tabelle1[Spalte330],"A"),IF(AND(LV5&lt;&gt;"Sa",LV5&lt;&gt;"So"),COUNTIF(Tabelle1[Spalte330],"")-1,""))&lt;0,0,IF(AND(LV4&lt;=TODAY(),LV5&lt;&gt;"Sa",LV5&lt;&gt;"So"),COUNTIF(Tabelle1[Spalte330],"A"),IF(AND(LV5&lt;&gt;"Sa",LV5&lt;&gt;"So"),COUNTIF(Tabelle1[Spalte330],"")-1,"")))</f>
        <v>2</v>
      </c>
      <c r="LW11" s="55">
        <f ca="1">IF(IF(AND(LW4&lt;=TODAY(),LW5&lt;&gt;"Sa",LW5&lt;&gt;"So"),COUNTIF(Tabelle1[Spalte331],"A"),IF(AND(LW5&lt;&gt;"Sa",LW5&lt;&gt;"So"),COUNTIF(Tabelle1[Spalte331],"")-1,""))&lt;0,0,IF(AND(LW4&lt;=TODAY(),LW5&lt;&gt;"Sa",LW5&lt;&gt;"So"),COUNTIF(Tabelle1[Spalte331],"A"),IF(AND(LW5&lt;&gt;"Sa",LW5&lt;&gt;"So"),COUNTIF(Tabelle1[Spalte331],"")-1,"")))</f>
        <v>2</v>
      </c>
      <c r="LX11" s="55">
        <f ca="1">IF(IF(AND(LX4&lt;=TODAY(),LX5&lt;&gt;"Sa",LX5&lt;&gt;"So"),COUNTIF(Tabelle1[Spalte332],"A"),IF(AND(LX5&lt;&gt;"Sa",LX5&lt;&gt;"So"),COUNTIF(Tabelle1[Spalte332],"")-1,""))&lt;0,0,IF(AND(LX4&lt;=TODAY(),LX5&lt;&gt;"Sa",LX5&lt;&gt;"So"),COUNTIF(Tabelle1[Spalte332],"A"),IF(AND(LX5&lt;&gt;"Sa",LX5&lt;&gt;"So"),COUNTIF(Tabelle1[Spalte332],"")-1,"")))</f>
        <v>2</v>
      </c>
      <c r="LY11" s="55" t="str">
        <f ca="1">IF(IF(AND(LY4&lt;=TODAY(),LY5&lt;&gt;"Sa",LY5&lt;&gt;"So"),COUNTIF(Tabelle1[Spalte333],"A"),IF(AND(LY5&lt;&gt;"Sa",LY5&lt;&gt;"So"),COUNTIF(Tabelle1[Spalte333],"")-1,""))&lt;0,0,IF(AND(LY4&lt;=TODAY(),LY5&lt;&gt;"Sa",LY5&lt;&gt;"So"),COUNTIF(Tabelle1[Spalte333],"A"),IF(AND(LY5&lt;&gt;"Sa",LY5&lt;&gt;"So"),COUNTIF(Tabelle1[Spalte333],"")-1,"")))</f>
        <v/>
      </c>
      <c r="LZ11" s="55" t="str">
        <f ca="1">IF(IF(AND(LZ4&lt;=TODAY(),LZ5&lt;&gt;"Sa",LZ5&lt;&gt;"So"),COUNTIF(Tabelle1[Spalte334],"A"),IF(AND(LZ5&lt;&gt;"Sa",LZ5&lt;&gt;"So"),COUNTIF(Tabelle1[Spalte334],"")-1,""))&lt;0,0,IF(AND(LZ4&lt;=TODAY(),LZ5&lt;&gt;"Sa",LZ5&lt;&gt;"So"),COUNTIF(Tabelle1[Spalte334],"A"),IF(AND(LZ5&lt;&gt;"Sa",LZ5&lt;&gt;"So"),COUNTIF(Tabelle1[Spalte334],"")-1,"")))</f>
        <v/>
      </c>
      <c r="MA11" s="55">
        <f ca="1">IF(IF(AND(MA4&lt;=TODAY(),MA5&lt;&gt;"Sa",MA5&lt;&gt;"So"),COUNTIF(Tabelle1[Spalte335],"A"),IF(AND(MA5&lt;&gt;"Sa",MA5&lt;&gt;"So"),COUNTIF(Tabelle1[Spalte335],"")-1,""))&lt;0,0,IF(AND(MA4&lt;=TODAY(),MA5&lt;&gt;"Sa",MA5&lt;&gt;"So"),COUNTIF(Tabelle1[Spalte335],"A"),IF(AND(MA5&lt;&gt;"Sa",MA5&lt;&gt;"So"),COUNTIF(Tabelle1[Spalte335],"")-1,"")))</f>
        <v>2</v>
      </c>
      <c r="MB11" s="55">
        <f ca="1">IF(IF(AND(MB4&lt;=TODAY(),MB5&lt;&gt;"Sa",MB5&lt;&gt;"So"),COUNTIF(Tabelle1[Spalte336],"A"),IF(AND(MB5&lt;&gt;"Sa",MB5&lt;&gt;"So"),COUNTIF(Tabelle1[Spalte336],"")-1,""))&lt;0,0,IF(AND(MB4&lt;=TODAY(),MB5&lt;&gt;"Sa",MB5&lt;&gt;"So"),COUNTIF(Tabelle1[Spalte336],"A"),IF(AND(MB5&lt;&gt;"Sa",MB5&lt;&gt;"So"),COUNTIF(Tabelle1[Spalte336],"")-1,"")))</f>
        <v>2</v>
      </c>
      <c r="MC11" s="55">
        <f ca="1">IF(IF(AND(MC4&lt;=TODAY(),MC5&lt;&gt;"Sa",MC5&lt;&gt;"So"),COUNTIF(Tabelle1[Spalte337],"A"),IF(AND(MC5&lt;&gt;"Sa",MC5&lt;&gt;"So"),COUNTIF(Tabelle1[Spalte337],"")-1,""))&lt;0,0,IF(AND(MC4&lt;=TODAY(),MC5&lt;&gt;"Sa",MC5&lt;&gt;"So"),COUNTIF(Tabelle1[Spalte337],"A"),IF(AND(MC5&lt;&gt;"Sa",MC5&lt;&gt;"So"),COUNTIF(Tabelle1[Spalte337],"")-1,"")))</f>
        <v>2</v>
      </c>
      <c r="MD11" s="55">
        <f ca="1">IF(IF(AND(MD4&lt;=TODAY(),MD5&lt;&gt;"Sa",MD5&lt;&gt;"So"),COUNTIF(Tabelle1[Spalte338],"A"),IF(AND(MD5&lt;&gt;"Sa",MD5&lt;&gt;"So"),COUNTIF(Tabelle1[Spalte338],"")-1,""))&lt;0,0,IF(AND(MD4&lt;=TODAY(),MD5&lt;&gt;"Sa",MD5&lt;&gt;"So"),COUNTIF(Tabelle1[Spalte338],"A"),IF(AND(MD5&lt;&gt;"Sa",MD5&lt;&gt;"So"),COUNTIF(Tabelle1[Spalte338],"")-1,"")))</f>
        <v>2</v>
      </c>
      <c r="ME11" s="55">
        <f ca="1">IF(IF(AND(ME4&lt;=TODAY(),ME5&lt;&gt;"Sa",ME5&lt;&gt;"So"),COUNTIF(Tabelle1[Spalte339],"A"),IF(AND(ME5&lt;&gt;"Sa",ME5&lt;&gt;"So"),COUNTIF(Tabelle1[Spalte339],"")-1,""))&lt;0,0,IF(AND(ME4&lt;=TODAY(),ME5&lt;&gt;"Sa",ME5&lt;&gt;"So"),COUNTIF(Tabelle1[Spalte339],"A"),IF(AND(ME5&lt;&gt;"Sa",ME5&lt;&gt;"So"),COUNTIF(Tabelle1[Spalte339],"")-1,"")))</f>
        <v>2</v>
      </c>
      <c r="MF11" s="55" t="str">
        <f ca="1">IF(IF(AND(MF4&lt;=TODAY(),MF5&lt;&gt;"Sa",MF5&lt;&gt;"So"),COUNTIF(Tabelle1[Spalte340],"A"),IF(AND(MF5&lt;&gt;"Sa",MF5&lt;&gt;"So"),COUNTIF(Tabelle1[Spalte340],"")-1,""))&lt;0,0,IF(AND(MF4&lt;=TODAY(),MF5&lt;&gt;"Sa",MF5&lt;&gt;"So"),COUNTIF(Tabelle1[Spalte340],"A"),IF(AND(MF5&lt;&gt;"Sa",MF5&lt;&gt;"So"),COUNTIF(Tabelle1[Spalte340],"")-1,"")))</f>
        <v/>
      </c>
      <c r="MG11" s="55" t="str">
        <f ca="1">IF(IF(AND(MG4&lt;=TODAY(),MG5&lt;&gt;"Sa",MG5&lt;&gt;"So"),COUNTIF(Tabelle1[Spalte341],"A"),IF(AND(MG5&lt;&gt;"Sa",MG5&lt;&gt;"So"),COUNTIF(Tabelle1[Spalte341],"")-1,""))&lt;0,0,IF(AND(MG4&lt;=TODAY(),MG5&lt;&gt;"Sa",MG5&lt;&gt;"So"),COUNTIF(Tabelle1[Spalte341],"A"),IF(AND(MG5&lt;&gt;"Sa",MG5&lt;&gt;"So"),COUNTIF(Tabelle1[Spalte341],"")-1,"")))</f>
        <v/>
      </c>
      <c r="MH11" s="55">
        <f ca="1">IF(IF(AND(MH4&lt;=TODAY(),MH5&lt;&gt;"Sa",MH5&lt;&gt;"So"),COUNTIF(Tabelle1[Spalte342],"A"),IF(AND(MH5&lt;&gt;"Sa",MH5&lt;&gt;"So"),COUNTIF(Tabelle1[Spalte342],"")-1,""))&lt;0,0,IF(AND(MH4&lt;=TODAY(),MH5&lt;&gt;"Sa",MH5&lt;&gt;"So"),COUNTIF(Tabelle1[Spalte342],"A"),IF(AND(MH5&lt;&gt;"Sa",MH5&lt;&gt;"So"),COUNTIF(Tabelle1[Spalte342],"")-1,"")))</f>
        <v>2</v>
      </c>
      <c r="MI11" s="55">
        <f ca="1">IF(IF(AND(MI4&lt;=TODAY(),MI5&lt;&gt;"Sa",MI5&lt;&gt;"So"),COUNTIF(Tabelle1[Spalte343],"A"),IF(AND(MI5&lt;&gt;"Sa",MI5&lt;&gt;"So"),COUNTIF(Tabelle1[Spalte343],"")-1,""))&lt;0,0,IF(AND(MI4&lt;=TODAY(),MI5&lt;&gt;"Sa",MI5&lt;&gt;"So"),COUNTIF(Tabelle1[Spalte343],"A"),IF(AND(MI5&lt;&gt;"Sa",MI5&lt;&gt;"So"),COUNTIF(Tabelle1[Spalte343],"")-1,"")))</f>
        <v>2</v>
      </c>
      <c r="MJ11" s="55">
        <f ca="1">IF(IF(AND(MJ4&lt;=TODAY(),MJ5&lt;&gt;"Sa",MJ5&lt;&gt;"So"),COUNTIF(Tabelle1[Spalte344],"A"),IF(AND(MJ5&lt;&gt;"Sa",MJ5&lt;&gt;"So"),COUNTIF(Tabelle1[Spalte344],"")-1,""))&lt;0,0,IF(AND(MJ4&lt;=TODAY(),MJ5&lt;&gt;"Sa",MJ5&lt;&gt;"So"),COUNTIF(Tabelle1[Spalte344],"A"),IF(AND(MJ5&lt;&gt;"Sa",MJ5&lt;&gt;"So"),COUNTIF(Tabelle1[Spalte344],"")-1,"")))</f>
        <v>2</v>
      </c>
      <c r="MK11" s="55">
        <f ca="1">IF(IF(AND(MK4&lt;=TODAY(),MK5&lt;&gt;"Sa",MK5&lt;&gt;"So"),COUNTIF(Tabelle1[Spalte345],"A"),IF(AND(MK5&lt;&gt;"Sa",MK5&lt;&gt;"So"),COUNTIF(Tabelle1[Spalte345],"")-1,""))&lt;0,0,IF(AND(MK4&lt;=TODAY(),MK5&lt;&gt;"Sa",MK5&lt;&gt;"So"),COUNTIF(Tabelle1[Spalte345],"A"),IF(AND(MK5&lt;&gt;"Sa",MK5&lt;&gt;"So"),COUNTIF(Tabelle1[Spalte345],"")-1,"")))</f>
        <v>2</v>
      </c>
      <c r="ML11" s="55">
        <f ca="1">IF(IF(AND(ML4&lt;=TODAY(),ML5&lt;&gt;"Sa",ML5&lt;&gt;"So"),COUNTIF(Tabelle1[Spalte346],"A"),IF(AND(ML5&lt;&gt;"Sa",ML5&lt;&gt;"So"),COUNTIF(Tabelle1[Spalte346],"")-1,""))&lt;0,0,IF(AND(ML4&lt;=TODAY(),ML5&lt;&gt;"Sa",ML5&lt;&gt;"So"),COUNTIF(Tabelle1[Spalte346],"A"),IF(AND(ML5&lt;&gt;"Sa",ML5&lt;&gt;"So"),COUNTIF(Tabelle1[Spalte346],"")-1,"")))</f>
        <v>2</v>
      </c>
      <c r="MM11" s="55" t="str">
        <f ca="1">IF(IF(AND(MM4&lt;=TODAY(),MM5&lt;&gt;"Sa",MM5&lt;&gt;"So"),COUNTIF(Tabelle1[Spalte347],"A"),IF(AND(MM5&lt;&gt;"Sa",MM5&lt;&gt;"So"),COUNTIF(Tabelle1[Spalte347],"")-1,""))&lt;0,0,IF(AND(MM4&lt;=TODAY(),MM5&lt;&gt;"Sa",MM5&lt;&gt;"So"),COUNTIF(Tabelle1[Spalte347],"A"),IF(AND(MM5&lt;&gt;"Sa",MM5&lt;&gt;"So"),COUNTIF(Tabelle1[Spalte347],"")-1,"")))</f>
        <v/>
      </c>
      <c r="MN11" s="55" t="str">
        <f ca="1">IF(IF(AND(MN4&lt;=TODAY(),MN5&lt;&gt;"Sa",MN5&lt;&gt;"So"),COUNTIF(Tabelle1[Spalte348],"A"),IF(AND(MN5&lt;&gt;"Sa",MN5&lt;&gt;"So"),COUNTIF(Tabelle1[Spalte348],"")-1,""))&lt;0,0,IF(AND(MN4&lt;=TODAY(),MN5&lt;&gt;"Sa",MN5&lt;&gt;"So"),COUNTIF(Tabelle1[Spalte348],"A"),IF(AND(MN5&lt;&gt;"Sa",MN5&lt;&gt;"So"),COUNTIF(Tabelle1[Spalte348],"")-1,"")))</f>
        <v/>
      </c>
      <c r="MO11" s="55">
        <f ca="1">IF(IF(AND(MO4&lt;=TODAY(),MO5&lt;&gt;"Sa",MO5&lt;&gt;"So"),COUNTIF(Tabelle1[Spalte349],"A"),IF(AND(MO5&lt;&gt;"Sa",MO5&lt;&gt;"So"),COUNTIF(Tabelle1[Spalte349],"")-1,""))&lt;0,0,IF(AND(MO4&lt;=TODAY(),MO5&lt;&gt;"Sa",MO5&lt;&gt;"So"),COUNTIF(Tabelle1[Spalte349],"A"),IF(AND(MO5&lt;&gt;"Sa",MO5&lt;&gt;"So"),COUNTIF(Tabelle1[Spalte349],"")-1,"")))</f>
        <v>2</v>
      </c>
      <c r="MP11" s="55">
        <f ca="1">IF(IF(AND(MP4&lt;=TODAY(),MP5&lt;&gt;"Sa",MP5&lt;&gt;"So"),COUNTIF(Tabelle1[Spalte350],"A"),IF(AND(MP5&lt;&gt;"Sa",MP5&lt;&gt;"So"),COUNTIF(Tabelle1[Spalte350],"")-1,""))&lt;0,0,IF(AND(MP4&lt;=TODAY(),MP5&lt;&gt;"Sa",MP5&lt;&gt;"So"),COUNTIF(Tabelle1[Spalte350],"A"),IF(AND(MP5&lt;&gt;"Sa",MP5&lt;&gt;"So"),COUNTIF(Tabelle1[Spalte350],"")-1,"")))</f>
        <v>2</v>
      </c>
      <c r="MQ11" s="55">
        <f ca="1">IF(IF(AND(MQ4&lt;=TODAY(),MQ5&lt;&gt;"Sa",MQ5&lt;&gt;"So"),COUNTIF(Tabelle1[Spalte351],"A"),IF(AND(MQ5&lt;&gt;"Sa",MQ5&lt;&gt;"So"),COUNTIF(Tabelle1[Spalte351],"")-1,""))&lt;0,0,IF(AND(MQ4&lt;=TODAY(),MQ5&lt;&gt;"Sa",MQ5&lt;&gt;"So"),COUNTIF(Tabelle1[Spalte351],"A"),IF(AND(MQ5&lt;&gt;"Sa",MQ5&lt;&gt;"So"),COUNTIF(Tabelle1[Spalte351],"")-1,"")))</f>
        <v>2</v>
      </c>
      <c r="MR11" s="55">
        <f ca="1">IF(IF(AND(MR4&lt;=TODAY(),MR5&lt;&gt;"Sa",MR5&lt;&gt;"So"),COUNTIF(Tabelle1[Spalte352],"A"),IF(AND(MR5&lt;&gt;"Sa",MR5&lt;&gt;"So"),COUNTIF(Tabelle1[Spalte352],"")-1,""))&lt;0,0,IF(AND(MR4&lt;=TODAY(),MR5&lt;&gt;"Sa",MR5&lt;&gt;"So"),COUNTIF(Tabelle1[Spalte352],"A"),IF(AND(MR5&lt;&gt;"Sa",MR5&lt;&gt;"So"),COUNTIF(Tabelle1[Spalte352],"")-1,"")))</f>
        <v>2</v>
      </c>
      <c r="MS11" s="55">
        <f ca="1">IF(IF(AND(MS4&lt;=TODAY(),MS5&lt;&gt;"Sa",MS5&lt;&gt;"So"),COUNTIF(Tabelle1[Spalte353],"A"),IF(AND(MS5&lt;&gt;"Sa",MS5&lt;&gt;"So"),COUNTIF(Tabelle1[Spalte353],"")-1,""))&lt;0,0,IF(AND(MS4&lt;=TODAY(),MS5&lt;&gt;"Sa",MS5&lt;&gt;"So"),COUNTIF(Tabelle1[Spalte353],"A"),IF(AND(MS5&lt;&gt;"Sa",MS5&lt;&gt;"So"),COUNTIF(Tabelle1[Spalte353],"")-1,"")))</f>
        <v>2</v>
      </c>
      <c r="MT11" s="55" t="str">
        <f ca="1">IF(IF(AND(MT4&lt;=TODAY(),MT5&lt;&gt;"Sa",MT5&lt;&gt;"So"),COUNTIF(Tabelle1[Spalte354],"A"),IF(AND(MT5&lt;&gt;"Sa",MT5&lt;&gt;"So"),COUNTIF(Tabelle1[Spalte354],"")-1,""))&lt;0,0,IF(AND(MT4&lt;=TODAY(),MT5&lt;&gt;"Sa",MT5&lt;&gt;"So"),COUNTIF(Tabelle1[Spalte354],"A"),IF(AND(MT5&lt;&gt;"Sa",MT5&lt;&gt;"So"),COUNTIF(Tabelle1[Spalte354],"")-1,"")))</f>
        <v/>
      </c>
      <c r="MU11" s="55" t="str">
        <f ca="1">IF(IF(AND(MU4&lt;=TODAY(),MU5&lt;&gt;"Sa",MU5&lt;&gt;"So"),COUNTIF(Tabelle1[Spalte355],"A"),IF(AND(MU5&lt;&gt;"Sa",MU5&lt;&gt;"So"),COUNTIF(Tabelle1[Spalte355],"")-1,""))&lt;0,0,IF(AND(MU4&lt;=TODAY(),MU5&lt;&gt;"Sa",MU5&lt;&gt;"So"),COUNTIF(Tabelle1[Spalte355],"A"),IF(AND(MU5&lt;&gt;"Sa",MU5&lt;&gt;"So"),COUNTIF(Tabelle1[Spalte355],"")-1,"")))</f>
        <v/>
      </c>
      <c r="MV11" s="55">
        <f ca="1">IF(IF(AND(MV4&lt;=TODAY(),MV5&lt;&gt;"Sa",MV5&lt;&gt;"So"),COUNTIF(Tabelle1[Spalte356],"A"),IF(AND(MV5&lt;&gt;"Sa",MV5&lt;&gt;"So"),COUNTIF(Tabelle1[Spalte356],"")-1,""))&lt;0,0,IF(AND(MV4&lt;=TODAY(),MV5&lt;&gt;"Sa",MV5&lt;&gt;"So"),COUNTIF(Tabelle1[Spalte356],"A"),IF(AND(MV5&lt;&gt;"Sa",MV5&lt;&gt;"So"),COUNTIF(Tabelle1[Spalte356],"")-1,"")))</f>
        <v>2</v>
      </c>
      <c r="MW11" s="55">
        <f ca="1">IF(IF(AND(MW4&lt;=TODAY(),MW5&lt;&gt;"Sa",MW5&lt;&gt;"So"),COUNTIF(Tabelle1[Spalte357],"A"),IF(AND(MW5&lt;&gt;"Sa",MW5&lt;&gt;"So"),COUNTIF(Tabelle1[Spalte357],"")-1,""))&lt;0,0,IF(AND(MW4&lt;=TODAY(),MW5&lt;&gt;"Sa",MW5&lt;&gt;"So"),COUNTIF(Tabelle1[Spalte357],"A"),IF(AND(MW5&lt;&gt;"Sa",MW5&lt;&gt;"So"),COUNTIF(Tabelle1[Spalte357],"")-1,"")))</f>
        <v>2</v>
      </c>
      <c r="MX11" s="55">
        <f ca="1">IF(IF(AND(MX4&lt;=TODAY(),MX5&lt;&gt;"Sa",MX5&lt;&gt;"So"),COUNTIF(Tabelle1[Spalte358],"A"),IF(AND(MX5&lt;&gt;"Sa",MX5&lt;&gt;"So"),COUNTIF(Tabelle1[Spalte358],"")-1,""))&lt;0,0,IF(AND(MX4&lt;=TODAY(),MX5&lt;&gt;"Sa",MX5&lt;&gt;"So"),COUNTIF(Tabelle1[Spalte358],"A"),IF(AND(MX5&lt;&gt;"Sa",MX5&lt;&gt;"So"),COUNTIF(Tabelle1[Spalte358],"")-1,"")))</f>
        <v>2</v>
      </c>
      <c r="MY11" s="55">
        <f ca="1">IF(IF(AND(MY4&lt;=TODAY(),MY5&lt;&gt;"Sa",MY5&lt;&gt;"So"),COUNTIF(Tabelle1[Spalte359],"A"),IF(AND(MY5&lt;&gt;"Sa",MY5&lt;&gt;"So"),COUNTIF(Tabelle1[Spalte359],"")-1,""))&lt;0,0,IF(AND(MY4&lt;=TODAY(),MY5&lt;&gt;"Sa",MY5&lt;&gt;"So"),COUNTIF(Tabelle1[Spalte359],"A"),IF(AND(MY5&lt;&gt;"Sa",MY5&lt;&gt;"So"),COUNTIF(Tabelle1[Spalte359],"")-1,"")))</f>
        <v>2</v>
      </c>
      <c r="MZ11" s="55">
        <f ca="1">IF(IF(AND(MZ4&lt;=TODAY(),MZ5&lt;&gt;"Sa",MZ5&lt;&gt;"So"),COUNTIF(Tabelle1[Spalte360],"A"),IF(AND(MZ5&lt;&gt;"Sa",MZ5&lt;&gt;"So"),COUNTIF(Tabelle1[Spalte360],"")-1,""))&lt;0,0,IF(AND(MZ4&lt;=TODAY(),MZ5&lt;&gt;"Sa",MZ5&lt;&gt;"So"),COUNTIF(Tabelle1[Spalte360],"A"),IF(AND(MZ5&lt;&gt;"Sa",MZ5&lt;&gt;"So"),COUNTIF(Tabelle1[Spalte360],"")-1,"")))</f>
        <v>2</v>
      </c>
      <c r="NA11" s="55" t="str">
        <f ca="1">IF(IF(AND(NA4&lt;=TODAY(),NA5&lt;&gt;"Sa",NA5&lt;&gt;"So"),COUNTIF(Tabelle1[Spalte361],"A"),IF(AND(NA5&lt;&gt;"Sa",NA5&lt;&gt;"So"),COUNTIF(Tabelle1[Spalte361],"")-1,""))&lt;0,0,IF(AND(NA4&lt;=TODAY(),NA5&lt;&gt;"Sa",NA5&lt;&gt;"So"),COUNTIF(Tabelle1[Spalte361],"A"),IF(AND(NA5&lt;&gt;"Sa",NA5&lt;&gt;"So"),COUNTIF(Tabelle1[Spalte361],"")-1,"")))</f>
        <v/>
      </c>
      <c r="NB11" s="55" t="str">
        <f ca="1">IF(IF(AND(NB4&lt;=TODAY(),NB5&lt;&gt;"Sa",NB5&lt;&gt;"So"),COUNTIF(Tabelle1[Spalte362],"A"),IF(AND(NB5&lt;&gt;"Sa",NB5&lt;&gt;"So"),COUNTIF(Tabelle1[Spalte362],"")-1,""))&lt;0,0,IF(AND(NB4&lt;=TODAY(),NB5&lt;&gt;"Sa",NB5&lt;&gt;"So"),COUNTIF(Tabelle1[Spalte362],"A"),IF(AND(NB5&lt;&gt;"Sa",NB5&lt;&gt;"So"),COUNTIF(Tabelle1[Spalte362],"")-1,"")))</f>
        <v/>
      </c>
      <c r="NC11" s="55">
        <f ca="1">IF(IF(AND(NC4&lt;=TODAY(),NC5&lt;&gt;"Sa",NC5&lt;&gt;"So"),COUNTIF(Tabelle1[Spalte363],"A"),IF(AND(NC5&lt;&gt;"Sa",NC5&lt;&gt;"So"),COUNTIF(Tabelle1[Spalte363],"")-1,""))&lt;0,0,IF(AND(NC4&lt;=TODAY(),NC5&lt;&gt;"Sa",NC5&lt;&gt;"So"),COUNTIF(Tabelle1[Spalte363],"A"),IF(AND(NC5&lt;&gt;"Sa",NC5&lt;&gt;"So"),COUNTIF(Tabelle1[Spalte363],"")-1,"")))</f>
        <v>2</v>
      </c>
      <c r="ND11" s="55">
        <f ca="1">IF(IF(AND(ND4&lt;=TODAY(),ND5&lt;&gt;"Sa",ND5&lt;&gt;"So"),COUNTIF(Tabelle1[Spalte364],"A"),IF(AND(ND5&lt;&gt;"Sa",ND5&lt;&gt;"So"),COUNTIF(Tabelle1[Spalte364],"")-1,""))&lt;0,0,IF(AND(ND4&lt;=TODAY(),ND5&lt;&gt;"Sa",ND5&lt;&gt;"So"),COUNTIF(Tabelle1[Spalte364],"A"),IF(AND(ND5&lt;&gt;"Sa",ND5&lt;&gt;"So"),COUNTIF(Tabelle1[Spalte364],"")-1,"")))</f>
        <v>2</v>
      </c>
      <c r="NE11" s="55">
        <f ca="1">IF(IF(AND(NE4&lt;=TODAY(),NE5&lt;&gt;"Sa",NE5&lt;&gt;"So"),COUNTIF(Tabelle1[Spalte365],"A"),IF(AND(NE5&lt;&gt;"Sa",NE5&lt;&gt;"So"),COUNTIF(Tabelle1[Spalte365],"")-1,""))&lt;0,0,IF(AND(NE4&lt;=TODAY(),NE5&lt;&gt;"Sa",NE5&lt;&gt;"So"),COUNTIF(Tabelle1[Spalte365],"A"),IF(AND(NE5&lt;&gt;"Sa",NE5&lt;&gt;"So"),COUNTIF(Tabelle1[Spalte365],"")-1,"")))</f>
        <v>2</v>
      </c>
      <c r="NF11" s="55">
        <f ca="1">IF(IF(AND(NF4&lt;=TODAY(),NF5&lt;&gt;"Sa",NF5&lt;&gt;"So"),COUNTIF(Tabelle1[Spalte366],"A"),IF(AND(NF5&lt;&gt;"Sa",NF5&lt;&gt;"So"),COUNTIF(Tabelle1[Spalte366],"")-1,""))&lt;0,0,IF(AND(NF4&lt;=TODAY(),NF5&lt;&gt;"Sa",NF5&lt;&gt;"So"),COUNTIF(Tabelle1[Spalte366],"A"),IF(AND(NF5&lt;&gt;"Sa",NF5&lt;&gt;"So"),COUNTIF(Tabelle1[Spalte366],"")-1,"")))</f>
        <v>2</v>
      </c>
      <c r="NG11" s="55">
        <f ca="1">IF(IF(AND(NG4&lt;=TODAY(),NG5&lt;&gt;"Sa",NG5&lt;&gt;"So"),COUNTIF(Tabelle1[Spalte367],"A"),IF(AND(NG5&lt;&gt;"Sa",NG5&lt;&gt;"So"),COUNTIF(Tabelle1[Spalte367],"")-1,""))&lt;0,0,IF(AND(NG4&lt;=TODAY(),NG5&lt;&gt;"Sa",NG5&lt;&gt;"So"),COUNTIF(Tabelle1[Spalte367],"A"),IF(AND(NG5&lt;&gt;"Sa",NG5&lt;&gt;"So"),COUNTIF(Tabelle1[Spalte367],"")-1,"")))</f>
        <v>2</v>
      </c>
      <c r="NH11" s="55"/>
      <c r="NI11" s="4"/>
      <c r="NJ11" s="4">
        <f>SUBTOTAL(103,Tabelle1[Messe])</f>
        <v>2</v>
      </c>
    </row>
    <row r="12" spans="1:375" x14ac:dyDescent="0.2">
      <c r="B12" s="60"/>
      <c r="C12" s="61"/>
      <c r="D12" s="60"/>
      <c r="E12" s="62"/>
      <c r="F12" s="62"/>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c r="IW12" s="55"/>
      <c r="IX12" s="55"/>
      <c r="IY12" s="55"/>
      <c r="IZ12" s="55"/>
      <c r="JA12" s="55"/>
      <c r="JB12" s="55"/>
      <c r="JC12" s="55"/>
      <c r="JD12" s="55"/>
      <c r="JE12" s="55"/>
      <c r="JF12" s="55"/>
      <c r="JG12" s="55"/>
      <c r="JH12" s="55"/>
      <c r="JI12" s="55"/>
      <c r="JJ12" s="55"/>
      <c r="JK12" s="55"/>
      <c r="JL12" s="55"/>
      <c r="JM12" s="55"/>
      <c r="JN12" s="55"/>
      <c r="JO12" s="55"/>
      <c r="JP12" s="55"/>
      <c r="JQ12" s="55"/>
      <c r="JR12" s="55"/>
      <c r="JS12" s="55"/>
      <c r="JT12" s="55"/>
      <c r="JU12" s="55"/>
      <c r="JV12" s="55"/>
      <c r="JW12" s="55"/>
      <c r="JX12" s="55"/>
      <c r="JY12" s="55"/>
      <c r="JZ12" s="55"/>
      <c r="KA12" s="55"/>
      <c r="KB12" s="55"/>
      <c r="KC12" s="55"/>
      <c r="KD12" s="55"/>
      <c r="KE12" s="55"/>
      <c r="KF12" s="55"/>
      <c r="KG12" s="55"/>
      <c r="KH12" s="55"/>
      <c r="KI12" s="55"/>
      <c r="KJ12" s="55"/>
      <c r="KK12" s="55"/>
      <c r="KL12" s="55"/>
      <c r="KM12" s="55"/>
      <c r="KN12" s="55"/>
      <c r="KO12" s="55"/>
      <c r="KP12" s="55"/>
      <c r="KQ12" s="55"/>
      <c r="KR12" s="55"/>
      <c r="KS12" s="55"/>
      <c r="KT12" s="55"/>
      <c r="KU12" s="55"/>
      <c r="KV12" s="55"/>
      <c r="KW12" s="55"/>
      <c r="KX12" s="55"/>
      <c r="KY12" s="55"/>
      <c r="KZ12" s="55"/>
      <c r="LA12" s="55"/>
      <c r="LB12" s="55"/>
      <c r="LC12" s="55"/>
      <c r="LD12" s="55"/>
      <c r="LE12" s="55"/>
      <c r="LF12" s="55"/>
      <c r="LG12" s="55"/>
      <c r="LH12" s="55"/>
      <c r="LI12" s="55"/>
      <c r="LJ12" s="55"/>
      <c r="LK12" s="55"/>
      <c r="LL12" s="55"/>
      <c r="LM12" s="55"/>
      <c r="LN12" s="55"/>
      <c r="LO12" s="55"/>
      <c r="LP12" s="55"/>
      <c r="LQ12" s="55"/>
      <c r="LR12" s="55"/>
      <c r="LS12" s="55"/>
      <c r="LT12" s="55"/>
      <c r="LU12" s="55"/>
      <c r="LV12" s="55"/>
      <c r="LW12" s="55"/>
      <c r="LX12" s="55"/>
      <c r="LY12" s="55"/>
      <c r="LZ12" s="55"/>
      <c r="MA12" s="55"/>
      <c r="MB12" s="55"/>
      <c r="MC12" s="55"/>
      <c r="MD12" s="55"/>
      <c r="ME12" s="55"/>
      <c r="MF12" s="55"/>
      <c r="MG12" s="55"/>
      <c r="MH12" s="55"/>
      <c r="MI12" s="55"/>
      <c r="MJ12" s="55"/>
      <c r="MK12" s="55"/>
      <c r="ML12" s="55"/>
      <c r="MM12" s="55"/>
      <c r="MN12" s="55"/>
      <c r="MO12" s="55"/>
      <c r="MP12" s="55"/>
      <c r="MQ12" s="55"/>
      <c r="MR12" s="55"/>
      <c r="MS12" s="55"/>
      <c r="MT12" s="55"/>
      <c r="MU12" s="55"/>
      <c r="MV12" s="55"/>
      <c r="MW12" s="55"/>
      <c r="MX12" s="55"/>
      <c r="MY12" s="55"/>
      <c r="MZ12" s="55"/>
      <c r="NA12" s="55"/>
      <c r="NB12" s="55"/>
      <c r="NC12" s="55"/>
      <c r="ND12" s="55"/>
      <c r="NE12" s="55"/>
      <c r="NF12" s="55"/>
      <c r="NG12" s="55"/>
      <c r="NH12" s="55"/>
      <c r="NI12" s="4"/>
      <c r="NJ12" s="4"/>
    </row>
    <row r="13" spans="1:375" x14ac:dyDescent="0.2">
      <c r="B13" s="60"/>
      <c r="C13" s="61"/>
      <c r="D13" s="60"/>
      <c r="E13" s="62"/>
      <c r="F13" s="62"/>
      <c r="G13" s="55"/>
      <c r="H13" s="55"/>
      <c r="I13" s="55"/>
      <c r="J13" s="55"/>
      <c r="K13" s="55"/>
      <c r="L13" s="55"/>
      <c r="M13" s="55"/>
      <c r="N13" s="55"/>
      <c r="O13" s="55"/>
      <c r="P13" s="55"/>
      <c r="Q13" s="55"/>
      <c r="R13" s="55"/>
      <c r="S13" s="55"/>
      <c r="T13" s="55"/>
      <c r="U13" s="55"/>
      <c r="V13" s="55"/>
      <c r="W13" s="55"/>
      <c r="X13" s="55"/>
      <c r="Y13" s="55"/>
      <c r="Z13" s="55"/>
      <c r="AA13" s="55"/>
      <c r="AB13" s="55"/>
      <c r="AC13" s="55"/>
      <c r="AD13" s="55"/>
      <c r="AE13" s="55"/>
      <c r="AF13" s="55"/>
      <c r="AG13" s="55"/>
      <c r="AH13" s="55"/>
      <c r="AI13" s="55"/>
      <c r="AJ13" s="55"/>
      <c r="AK13" s="55"/>
      <c r="AL13" s="55"/>
      <c r="AM13" s="55"/>
      <c r="AN13" s="55"/>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5"/>
      <c r="CA13" s="55"/>
      <c r="CB13" s="55"/>
      <c r="CC13" s="55"/>
      <c r="CD13" s="55"/>
      <c r="CE13" s="55"/>
      <c r="CF13" s="55"/>
      <c r="CG13" s="55"/>
      <c r="CH13" s="55"/>
      <c r="CI13" s="55"/>
      <c r="CJ13" s="55"/>
      <c r="CK13" s="55"/>
      <c r="CL13" s="55"/>
      <c r="CM13" s="55"/>
      <c r="CN13" s="55"/>
      <c r="CO13" s="55"/>
      <c r="CP13" s="55"/>
      <c r="CQ13" s="55"/>
      <c r="CR13" s="55"/>
      <c r="CS13" s="55"/>
      <c r="CT13" s="55"/>
      <c r="CU13" s="55"/>
      <c r="CV13" s="55"/>
      <c r="CW13" s="55"/>
      <c r="CX13" s="55"/>
      <c r="CY13" s="55"/>
      <c r="CZ13" s="55"/>
      <c r="DA13" s="55"/>
      <c r="DB13" s="55"/>
      <c r="DC13" s="55"/>
      <c r="DD13" s="55"/>
      <c r="DE13" s="55"/>
      <c r="DF13" s="55"/>
      <c r="DG13" s="55"/>
      <c r="DH13" s="55"/>
      <c r="DI13" s="55"/>
      <c r="DJ13" s="55"/>
      <c r="DK13" s="55"/>
      <c r="DL13" s="55"/>
      <c r="DM13" s="55"/>
      <c r="DN13" s="55"/>
      <c r="DO13" s="55"/>
      <c r="DP13" s="55"/>
      <c r="DQ13" s="55"/>
      <c r="DR13" s="55"/>
      <c r="DS13" s="55"/>
      <c r="DT13" s="55"/>
      <c r="DU13" s="55"/>
      <c r="DV13" s="55"/>
      <c r="DW13" s="55"/>
      <c r="DX13" s="55"/>
      <c r="DY13" s="55"/>
      <c r="DZ13" s="55"/>
      <c r="EA13" s="55"/>
      <c r="EB13" s="55"/>
      <c r="EC13" s="55"/>
      <c r="ED13" s="55"/>
      <c r="EE13" s="55"/>
      <c r="EF13" s="55"/>
      <c r="EG13" s="55"/>
      <c r="EH13" s="55"/>
      <c r="EI13" s="55"/>
      <c r="EJ13" s="55"/>
      <c r="EK13" s="55"/>
      <c r="EL13" s="55"/>
      <c r="EM13" s="55"/>
      <c r="EN13" s="55"/>
      <c r="EO13" s="55"/>
      <c r="EP13" s="55"/>
      <c r="EQ13" s="55"/>
      <c r="ER13" s="55"/>
      <c r="ES13" s="55"/>
      <c r="ET13" s="55"/>
      <c r="EU13" s="55"/>
      <c r="EV13" s="55"/>
      <c r="EW13" s="55"/>
      <c r="EX13" s="55"/>
      <c r="EY13" s="55"/>
      <c r="EZ13" s="55"/>
      <c r="FA13" s="55"/>
      <c r="FB13" s="55"/>
      <c r="FC13" s="55"/>
      <c r="FD13" s="55"/>
      <c r="FE13" s="55"/>
      <c r="FF13" s="55"/>
      <c r="FG13" s="55"/>
      <c r="FH13" s="55"/>
      <c r="FI13" s="55"/>
      <c r="FJ13" s="55"/>
      <c r="FK13" s="55"/>
      <c r="FL13" s="55"/>
      <c r="FM13" s="55"/>
      <c r="FN13" s="55"/>
      <c r="FO13" s="55"/>
      <c r="FP13" s="55"/>
      <c r="FQ13" s="55"/>
      <c r="FR13" s="55"/>
      <c r="FS13" s="55"/>
      <c r="FT13" s="55"/>
      <c r="FU13" s="55"/>
      <c r="FV13" s="55"/>
      <c r="FW13" s="55"/>
      <c r="FX13" s="55"/>
      <c r="FY13" s="55"/>
      <c r="FZ13" s="55"/>
      <c r="GA13" s="55"/>
      <c r="GB13" s="55"/>
      <c r="GC13" s="55"/>
      <c r="GD13" s="55"/>
      <c r="GE13" s="55"/>
      <c r="GF13" s="55"/>
      <c r="GG13" s="55"/>
      <c r="GH13" s="55"/>
      <c r="GI13" s="55"/>
      <c r="GJ13" s="55"/>
      <c r="GK13" s="55"/>
      <c r="GL13" s="55"/>
      <c r="GM13" s="55"/>
      <c r="GN13" s="55"/>
      <c r="GO13" s="55"/>
      <c r="GP13" s="55"/>
      <c r="GQ13" s="55"/>
      <c r="GR13" s="55"/>
      <c r="GS13" s="55"/>
      <c r="GT13" s="55"/>
      <c r="GU13" s="55"/>
      <c r="GV13" s="55"/>
      <c r="GW13" s="55"/>
      <c r="GX13" s="55"/>
      <c r="GY13" s="55"/>
      <c r="GZ13" s="55"/>
      <c r="HA13" s="55"/>
      <c r="HB13" s="55"/>
      <c r="HC13" s="55"/>
      <c r="HD13" s="55"/>
      <c r="HE13" s="55"/>
      <c r="HF13" s="55"/>
      <c r="HG13" s="55"/>
      <c r="HH13" s="55"/>
      <c r="HI13" s="55"/>
      <c r="HJ13" s="55"/>
      <c r="HK13" s="55"/>
      <c r="HL13" s="55"/>
      <c r="HM13" s="55"/>
      <c r="HN13" s="55"/>
      <c r="HO13" s="55"/>
      <c r="HP13" s="55"/>
      <c r="HQ13" s="55"/>
      <c r="HR13" s="55"/>
      <c r="HS13" s="55"/>
      <c r="HT13" s="55"/>
      <c r="HU13" s="55"/>
      <c r="HV13" s="55"/>
      <c r="HW13" s="55"/>
      <c r="HX13" s="55"/>
      <c r="HY13" s="55"/>
      <c r="HZ13" s="55"/>
      <c r="IA13" s="55"/>
      <c r="IB13" s="55"/>
      <c r="IC13" s="55"/>
      <c r="ID13" s="55"/>
      <c r="IE13" s="55"/>
      <c r="IF13" s="55"/>
      <c r="IG13" s="55"/>
      <c r="IH13" s="55"/>
      <c r="II13" s="55"/>
      <c r="IJ13" s="55"/>
      <c r="IK13" s="55"/>
      <c r="IL13" s="55"/>
      <c r="IM13" s="55"/>
      <c r="IN13" s="55"/>
      <c r="IO13" s="55"/>
      <c r="IP13" s="55"/>
      <c r="IQ13" s="55"/>
      <c r="IR13" s="55"/>
      <c r="IS13" s="55"/>
      <c r="IT13" s="55"/>
      <c r="IU13" s="55"/>
      <c r="IV13" s="55"/>
      <c r="IW13" s="55"/>
      <c r="IX13" s="55"/>
      <c r="IY13" s="55"/>
      <c r="IZ13" s="55"/>
      <c r="JA13" s="55"/>
      <c r="JB13" s="55"/>
      <c r="JC13" s="55"/>
      <c r="JD13" s="55"/>
      <c r="JE13" s="55"/>
      <c r="JF13" s="55"/>
      <c r="JG13" s="55"/>
      <c r="JH13" s="55"/>
      <c r="JI13" s="55"/>
      <c r="JJ13" s="55"/>
      <c r="JK13" s="55"/>
      <c r="JL13" s="55"/>
      <c r="JM13" s="55"/>
      <c r="JN13" s="55"/>
      <c r="JO13" s="55"/>
      <c r="JP13" s="55"/>
      <c r="JQ13" s="55"/>
      <c r="JR13" s="55"/>
      <c r="JS13" s="55"/>
      <c r="JT13" s="55"/>
      <c r="JU13" s="55"/>
      <c r="JV13" s="55"/>
      <c r="JW13" s="55"/>
      <c r="JX13" s="55"/>
      <c r="JY13" s="55"/>
      <c r="JZ13" s="55"/>
      <c r="KA13" s="55"/>
      <c r="KB13" s="55"/>
      <c r="KC13" s="55"/>
      <c r="KD13" s="55"/>
      <c r="KE13" s="55"/>
      <c r="KF13" s="55"/>
      <c r="KG13" s="55"/>
      <c r="KH13" s="55"/>
      <c r="KI13" s="55"/>
      <c r="KJ13" s="55"/>
      <c r="KK13" s="55"/>
      <c r="KL13" s="55"/>
      <c r="KM13" s="55"/>
      <c r="KN13" s="55"/>
      <c r="KO13" s="55"/>
      <c r="KP13" s="55"/>
      <c r="KQ13" s="55"/>
      <c r="KR13" s="55"/>
      <c r="KS13" s="55"/>
      <c r="KT13" s="55"/>
      <c r="KU13" s="55"/>
      <c r="KV13" s="55"/>
      <c r="KW13" s="55"/>
      <c r="KX13" s="55"/>
      <c r="KY13" s="55"/>
      <c r="KZ13" s="55"/>
      <c r="LA13" s="55"/>
      <c r="LB13" s="55"/>
      <c r="LC13" s="55"/>
      <c r="LD13" s="55"/>
      <c r="LE13" s="55"/>
      <c r="LF13" s="55"/>
      <c r="LG13" s="55"/>
      <c r="LH13" s="55"/>
      <c r="LI13" s="55"/>
      <c r="LJ13" s="55"/>
      <c r="LK13" s="55"/>
      <c r="LL13" s="55"/>
      <c r="LM13" s="55"/>
      <c r="LN13" s="55"/>
      <c r="LO13" s="55"/>
      <c r="LP13" s="55"/>
      <c r="LQ13" s="55"/>
      <c r="LR13" s="55"/>
      <c r="LS13" s="55"/>
      <c r="LT13" s="55"/>
      <c r="LU13" s="55"/>
      <c r="LV13" s="55"/>
      <c r="LW13" s="55"/>
      <c r="LX13" s="55"/>
      <c r="LY13" s="55"/>
      <c r="LZ13" s="55"/>
      <c r="MA13" s="55"/>
      <c r="MB13" s="55"/>
      <c r="MC13" s="55"/>
      <c r="MD13" s="55"/>
      <c r="ME13" s="55"/>
      <c r="MF13" s="55"/>
      <c r="MG13" s="55"/>
      <c r="MH13" s="55"/>
      <c r="MI13" s="55"/>
      <c r="MJ13" s="55"/>
      <c r="MK13" s="55"/>
      <c r="ML13" s="55"/>
      <c r="MM13" s="55"/>
      <c r="MN13" s="55"/>
      <c r="MO13" s="55"/>
      <c r="MP13" s="55"/>
      <c r="MQ13" s="55"/>
      <c r="MR13" s="55"/>
      <c r="MS13" s="55"/>
      <c r="MT13" s="55"/>
      <c r="MU13" s="55"/>
      <c r="MV13" s="55"/>
      <c r="MW13" s="55"/>
      <c r="MX13" s="55"/>
      <c r="MY13" s="55"/>
      <c r="MZ13" s="55"/>
      <c r="NA13" s="55"/>
      <c r="NB13" s="55"/>
      <c r="NC13" s="55"/>
      <c r="ND13" s="55"/>
      <c r="NE13" s="55"/>
      <c r="NF13" s="55"/>
      <c r="NG13" s="55"/>
      <c r="NH13" s="55"/>
      <c r="NI13" s="4"/>
      <c r="NJ13" s="4"/>
    </row>
    <row r="14" spans="1:375" x14ac:dyDescent="0.2">
      <c r="B14" s="60"/>
      <c r="C14" s="61"/>
      <c r="D14" s="60"/>
      <c r="E14" s="62"/>
      <c r="F14" s="62"/>
      <c r="G14" s="55"/>
      <c r="H14" s="55"/>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M14" s="55"/>
      <c r="AN14" s="55"/>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c r="CJ14" s="55"/>
      <c r="CK14" s="55"/>
      <c r="CL14" s="55"/>
      <c r="CM14" s="55"/>
      <c r="CN14" s="55"/>
      <c r="CO14" s="55"/>
      <c r="CP14" s="55"/>
      <c r="CQ14" s="55"/>
      <c r="CR14" s="55"/>
      <c r="CS14" s="55"/>
      <c r="CT14" s="55"/>
      <c r="CU14" s="55"/>
      <c r="CV14" s="55"/>
      <c r="CW14" s="55"/>
      <c r="CX14" s="55"/>
      <c r="CY14" s="55"/>
      <c r="CZ14" s="55"/>
      <c r="DA14" s="55"/>
      <c r="DB14" s="55"/>
      <c r="DC14" s="55"/>
      <c r="DD14" s="55"/>
      <c r="DE14" s="55"/>
      <c r="DF14" s="55"/>
      <c r="DG14" s="55"/>
      <c r="DH14" s="55"/>
      <c r="DI14" s="55"/>
      <c r="DJ14" s="55"/>
      <c r="DK14" s="55"/>
      <c r="DL14" s="55"/>
      <c r="DM14" s="55"/>
      <c r="DN14" s="55"/>
      <c r="DO14" s="55"/>
      <c r="DP14" s="55"/>
      <c r="DQ14" s="55"/>
      <c r="DR14" s="55"/>
      <c r="DS14" s="55"/>
      <c r="DT14" s="55"/>
      <c r="DU14" s="55"/>
      <c r="DV14" s="55"/>
      <c r="DW14" s="55"/>
      <c r="DX14" s="55"/>
      <c r="DY14" s="55"/>
      <c r="DZ14" s="55"/>
      <c r="EA14" s="55"/>
      <c r="EB14" s="55"/>
      <c r="EC14" s="55"/>
      <c r="ED14" s="55"/>
      <c r="EE14" s="55"/>
      <c r="EF14" s="55"/>
      <c r="EG14" s="55"/>
      <c r="EH14" s="55"/>
      <c r="EI14" s="55"/>
      <c r="EJ14" s="55"/>
      <c r="EK14" s="55"/>
      <c r="EL14" s="55"/>
      <c r="EM14" s="55"/>
      <c r="EN14" s="55"/>
      <c r="EO14" s="55"/>
      <c r="EP14" s="55"/>
      <c r="EQ14" s="55"/>
      <c r="ER14" s="55"/>
      <c r="ES14" s="55"/>
      <c r="ET14" s="55"/>
      <c r="EU14" s="55"/>
      <c r="EV14" s="55"/>
      <c r="EW14" s="55"/>
      <c r="EX14" s="55"/>
      <c r="EY14" s="55"/>
      <c r="EZ14" s="55"/>
      <c r="FA14" s="55"/>
      <c r="FB14" s="55"/>
      <c r="FC14" s="55"/>
      <c r="FD14" s="55"/>
      <c r="FE14" s="55"/>
      <c r="FF14" s="55"/>
      <c r="FG14" s="55"/>
      <c r="FH14" s="55"/>
      <c r="FI14" s="55"/>
      <c r="FJ14" s="55"/>
      <c r="FK14" s="55"/>
      <c r="FL14" s="55"/>
      <c r="FM14" s="55"/>
      <c r="FN14" s="55"/>
      <c r="FO14" s="55"/>
      <c r="FP14" s="55"/>
      <c r="FQ14" s="55"/>
      <c r="FR14" s="55"/>
      <c r="FS14" s="55"/>
      <c r="FT14" s="55"/>
      <c r="FU14" s="55"/>
      <c r="FV14" s="55"/>
      <c r="FW14" s="55"/>
      <c r="FX14" s="55"/>
      <c r="FY14" s="55"/>
      <c r="FZ14" s="55"/>
      <c r="GA14" s="55"/>
      <c r="GB14" s="55"/>
      <c r="GC14" s="55"/>
      <c r="GD14" s="55"/>
      <c r="GE14" s="55"/>
      <c r="GF14" s="55"/>
      <c r="GG14" s="55"/>
      <c r="GH14" s="55"/>
      <c r="GI14" s="55"/>
      <c r="GJ14" s="55"/>
      <c r="GK14" s="55"/>
      <c r="GL14" s="55"/>
      <c r="GM14" s="55"/>
      <c r="GN14" s="55"/>
      <c r="GO14" s="55"/>
      <c r="GP14" s="55"/>
      <c r="GQ14" s="55"/>
      <c r="GR14" s="55"/>
      <c r="GS14" s="55"/>
      <c r="GT14" s="55"/>
      <c r="GU14" s="55"/>
      <c r="GV14" s="55"/>
      <c r="GW14" s="55"/>
      <c r="GX14" s="55"/>
      <c r="GY14" s="55"/>
      <c r="GZ14" s="55"/>
      <c r="HA14" s="55"/>
      <c r="HB14" s="55"/>
      <c r="HC14" s="55"/>
      <c r="HD14" s="55"/>
      <c r="HE14" s="55"/>
      <c r="HF14" s="55"/>
      <c r="HG14" s="55"/>
      <c r="HH14" s="55"/>
      <c r="HI14" s="55"/>
      <c r="HJ14" s="55"/>
      <c r="HK14" s="55"/>
      <c r="HL14" s="55"/>
      <c r="HM14" s="55"/>
      <c r="HN14" s="55"/>
      <c r="HO14" s="55"/>
      <c r="HP14" s="55"/>
      <c r="HQ14" s="55"/>
      <c r="HR14" s="55"/>
      <c r="HS14" s="55"/>
      <c r="HT14" s="55"/>
      <c r="HU14" s="55"/>
      <c r="HV14" s="55"/>
      <c r="HW14" s="55"/>
      <c r="HX14" s="55"/>
      <c r="HY14" s="55"/>
      <c r="HZ14" s="55"/>
      <c r="IA14" s="55"/>
      <c r="IB14" s="55"/>
      <c r="IC14" s="55"/>
      <c r="ID14" s="55"/>
      <c r="IE14" s="55"/>
      <c r="IF14" s="55"/>
      <c r="IG14" s="55"/>
      <c r="IH14" s="55"/>
      <c r="II14" s="55"/>
      <c r="IJ14" s="55"/>
      <c r="IK14" s="55"/>
      <c r="IL14" s="55"/>
      <c r="IM14" s="55"/>
      <c r="IN14" s="55"/>
      <c r="IO14" s="55"/>
      <c r="IP14" s="55"/>
      <c r="IQ14" s="55"/>
      <c r="IR14" s="55"/>
      <c r="IS14" s="55"/>
      <c r="IT14" s="55"/>
      <c r="IU14" s="55"/>
      <c r="IV14" s="55"/>
      <c r="IW14" s="55"/>
      <c r="IX14" s="55"/>
      <c r="IY14" s="55"/>
      <c r="IZ14" s="55"/>
      <c r="JA14" s="55"/>
      <c r="JB14" s="55"/>
      <c r="JC14" s="55"/>
      <c r="JD14" s="55"/>
      <c r="JE14" s="55"/>
      <c r="JF14" s="55"/>
      <c r="JG14" s="55"/>
      <c r="JH14" s="55"/>
      <c r="JI14" s="55"/>
      <c r="JJ14" s="55"/>
      <c r="JK14" s="55"/>
      <c r="JL14" s="55"/>
      <c r="JM14" s="55"/>
      <c r="JN14" s="55"/>
      <c r="JO14" s="55"/>
      <c r="JP14" s="55"/>
      <c r="JQ14" s="55"/>
      <c r="JR14" s="55"/>
      <c r="JS14" s="55"/>
      <c r="JT14" s="55"/>
      <c r="JU14" s="55"/>
      <c r="JV14" s="55"/>
      <c r="JW14" s="55"/>
      <c r="JX14" s="55"/>
      <c r="JY14" s="55"/>
      <c r="JZ14" s="55"/>
      <c r="KA14" s="55"/>
      <c r="KB14" s="55"/>
      <c r="KC14" s="55"/>
      <c r="KD14" s="55"/>
      <c r="KE14" s="55"/>
      <c r="KF14" s="55"/>
      <c r="KG14" s="55"/>
      <c r="KH14" s="55"/>
      <c r="KI14" s="55"/>
      <c r="KJ14" s="55"/>
      <c r="KK14" s="55"/>
      <c r="KL14" s="55"/>
      <c r="KM14" s="55"/>
      <c r="KN14" s="55"/>
      <c r="KO14" s="55"/>
      <c r="KP14" s="55"/>
      <c r="KQ14" s="55"/>
      <c r="KR14" s="55"/>
      <c r="KS14" s="55"/>
      <c r="KT14" s="55"/>
      <c r="KU14" s="55"/>
      <c r="KV14" s="55"/>
      <c r="KW14" s="55"/>
      <c r="KX14" s="55"/>
      <c r="KY14" s="55"/>
      <c r="KZ14" s="55"/>
      <c r="LA14" s="55"/>
      <c r="LB14" s="55"/>
      <c r="LC14" s="55"/>
      <c r="LD14" s="55"/>
      <c r="LE14" s="55"/>
      <c r="LF14" s="55"/>
      <c r="LG14" s="55"/>
      <c r="LH14" s="55"/>
      <c r="LI14" s="55"/>
      <c r="LJ14" s="55"/>
      <c r="LK14" s="55"/>
      <c r="LL14" s="55"/>
      <c r="LM14" s="55"/>
      <c r="LN14" s="55"/>
      <c r="LO14" s="55"/>
      <c r="LP14" s="55"/>
      <c r="LQ14" s="55"/>
      <c r="LR14" s="55"/>
      <c r="LS14" s="55"/>
      <c r="LT14" s="55"/>
      <c r="LU14" s="55"/>
      <c r="LV14" s="55"/>
      <c r="LW14" s="55"/>
      <c r="LX14" s="55"/>
      <c r="LY14" s="55"/>
      <c r="LZ14" s="55"/>
      <c r="MA14" s="55"/>
      <c r="MB14" s="55"/>
      <c r="MC14" s="55"/>
      <c r="MD14" s="55"/>
      <c r="ME14" s="55"/>
      <c r="MF14" s="55"/>
      <c r="MG14" s="55"/>
      <c r="MH14" s="55"/>
      <c r="MI14" s="55"/>
      <c r="MJ14" s="55"/>
      <c r="MK14" s="55"/>
      <c r="ML14" s="55"/>
      <c r="MM14" s="55"/>
      <c r="MN14" s="55"/>
      <c r="MO14" s="55"/>
      <c r="MP14" s="55"/>
      <c r="MQ14" s="55"/>
      <c r="MR14" s="55"/>
      <c r="MS14" s="55"/>
      <c r="MT14" s="55"/>
      <c r="MU14" s="55"/>
      <c r="MV14" s="55"/>
      <c r="MW14" s="55"/>
      <c r="MX14" s="55"/>
      <c r="MY14" s="55"/>
      <c r="MZ14" s="55"/>
      <c r="NA14" s="55"/>
      <c r="NB14" s="55"/>
      <c r="NC14" s="55"/>
      <c r="ND14" s="55"/>
      <c r="NE14" s="55"/>
      <c r="NF14" s="55"/>
      <c r="NG14" s="55"/>
      <c r="NH14" s="55"/>
      <c r="NI14" s="4"/>
      <c r="NJ14" s="4"/>
    </row>
    <row r="15" spans="1:375" x14ac:dyDescent="0.2">
      <c r="B15" s="60"/>
      <c r="C15" s="61"/>
      <c r="D15" s="60"/>
      <c r="E15" s="62"/>
      <c r="F15" s="62"/>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c r="CJ15" s="55"/>
      <c r="CK15" s="55"/>
      <c r="CL15" s="55"/>
      <c r="CM15" s="55"/>
      <c r="CN15" s="55"/>
      <c r="CO15" s="55"/>
      <c r="CP15" s="55"/>
      <c r="CQ15" s="55"/>
      <c r="CR15" s="55"/>
      <c r="CS15" s="55"/>
      <c r="CT15" s="55"/>
      <c r="CU15" s="55"/>
      <c r="CV15" s="55"/>
      <c r="CW15" s="55"/>
      <c r="CX15" s="55"/>
      <c r="CY15" s="55"/>
      <c r="CZ15" s="55"/>
      <c r="DA15" s="55"/>
      <c r="DB15" s="55"/>
      <c r="DC15" s="55"/>
      <c r="DD15" s="55"/>
      <c r="DE15" s="55"/>
      <c r="DF15" s="55"/>
      <c r="DG15" s="55"/>
      <c r="DH15" s="55"/>
      <c r="DI15" s="55"/>
      <c r="DJ15" s="55"/>
      <c r="DK15" s="55"/>
      <c r="DL15" s="55"/>
      <c r="DM15" s="55"/>
      <c r="DN15" s="55"/>
      <c r="DO15" s="55"/>
      <c r="DP15" s="55"/>
      <c r="DQ15" s="55"/>
      <c r="DR15" s="55"/>
      <c r="DS15" s="55"/>
      <c r="DT15" s="55"/>
      <c r="DU15" s="55"/>
      <c r="DV15" s="55"/>
      <c r="DW15" s="55"/>
      <c r="DX15" s="55"/>
      <c r="DY15" s="55"/>
      <c r="DZ15" s="55"/>
      <c r="EA15" s="55"/>
      <c r="EB15" s="55"/>
      <c r="EC15" s="55"/>
      <c r="ED15" s="55"/>
      <c r="EE15" s="55"/>
      <c r="EF15" s="55"/>
      <c r="EG15" s="55"/>
      <c r="EH15" s="55"/>
      <c r="EI15" s="55"/>
      <c r="EJ15" s="55"/>
      <c r="EK15" s="55"/>
      <c r="EL15" s="55"/>
      <c r="EM15" s="55"/>
      <c r="EN15" s="55"/>
      <c r="EO15" s="55"/>
      <c r="EP15" s="55"/>
      <c r="EQ15" s="55"/>
      <c r="ER15" s="55"/>
      <c r="ES15" s="55"/>
      <c r="ET15" s="55"/>
      <c r="EU15" s="55"/>
      <c r="EV15" s="55"/>
      <c r="EW15" s="55"/>
      <c r="EX15" s="55"/>
      <c r="EY15" s="55"/>
      <c r="EZ15" s="55"/>
      <c r="FA15" s="55"/>
      <c r="FB15" s="55"/>
      <c r="FC15" s="55"/>
      <c r="FD15" s="55"/>
      <c r="FE15" s="55"/>
      <c r="FF15" s="55"/>
      <c r="FG15" s="55"/>
      <c r="FH15" s="55"/>
      <c r="FI15" s="55"/>
      <c r="FJ15" s="55"/>
      <c r="FK15" s="55"/>
      <c r="FL15" s="55"/>
      <c r="FM15" s="55"/>
      <c r="FN15" s="55"/>
      <c r="FO15" s="55"/>
      <c r="FP15" s="55"/>
      <c r="FQ15" s="55"/>
      <c r="FR15" s="55"/>
      <c r="FS15" s="55"/>
      <c r="FT15" s="55"/>
      <c r="FU15" s="55"/>
      <c r="FV15" s="55"/>
      <c r="FW15" s="55"/>
      <c r="FX15" s="55"/>
      <c r="FY15" s="55"/>
      <c r="FZ15" s="55"/>
      <c r="GA15" s="55"/>
      <c r="GB15" s="55"/>
      <c r="GC15" s="55"/>
      <c r="GD15" s="55"/>
      <c r="GE15" s="55"/>
      <c r="GF15" s="55"/>
      <c r="GG15" s="55"/>
      <c r="GH15" s="55"/>
      <c r="GI15" s="55"/>
      <c r="GJ15" s="55"/>
      <c r="GK15" s="55"/>
      <c r="GL15" s="55"/>
      <c r="GM15" s="55"/>
      <c r="GN15" s="55"/>
      <c r="GO15" s="55"/>
      <c r="GP15" s="55"/>
      <c r="GQ15" s="55"/>
      <c r="GR15" s="55"/>
      <c r="GS15" s="55"/>
      <c r="GT15" s="55"/>
      <c r="GU15" s="55"/>
      <c r="GV15" s="55"/>
      <c r="GW15" s="55"/>
      <c r="GX15" s="55"/>
      <c r="GY15" s="55"/>
      <c r="GZ15" s="55"/>
      <c r="HA15" s="55"/>
      <c r="HB15" s="55"/>
      <c r="HC15" s="55"/>
      <c r="HD15" s="55"/>
      <c r="HE15" s="55"/>
      <c r="HF15" s="55"/>
      <c r="HG15" s="55"/>
      <c r="HH15" s="55"/>
      <c r="HI15" s="55"/>
      <c r="HJ15" s="55"/>
      <c r="HK15" s="55"/>
      <c r="HL15" s="55"/>
      <c r="HM15" s="55"/>
      <c r="HN15" s="55"/>
      <c r="HO15" s="55"/>
      <c r="HP15" s="55"/>
      <c r="HQ15" s="55"/>
      <c r="HR15" s="55"/>
      <c r="HS15" s="55"/>
      <c r="HT15" s="55"/>
      <c r="HU15" s="55"/>
      <c r="HV15" s="55"/>
      <c r="HW15" s="55"/>
      <c r="HX15" s="55"/>
      <c r="HY15" s="55"/>
      <c r="HZ15" s="55"/>
      <c r="IA15" s="55"/>
      <c r="IB15" s="55"/>
      <c r="IC15" s="55"/>
      <c r="ID15" s="55"/>
      <c r="IE15" s="55"/>
      <c r="IF15" s="55"/>
      <c r="IG15" s="55"/>
      <c r="IH15" s="55"/>
      <c r="II15" s="55"/>
      <c r="IJ15" s="55"/>
      <c r="IK15" s="55"/>
      <c r="IL15" s="55"/>
      <c r="IM15" s="55"/>
      <c r="IN15" s="55"/>
      <c r="IO15" s="55"/>
      <c r="IP15" s="55"/>
      <c r="IQ15" s="55"/>
      <c r="IR15" s="55"/>
      <c r="IS15" s="55"/>
      <c r="IT15" s="55"/>
      <c r="IU15" s="55"/>
      <c r="IV15" s="55"/>
      <c r="IW15" s="55"/>
      <c r="IX15" s="55"/>
      <c r="IY15" s="55"/>
      <c r="IZ15" s="55"/>
      <c r="JA15" s="55"/>
      <c r="JB15" s="55"/>
      <c r="JC15" s="55"/>
      <c r="JD15" s="55"/>
      <c r="JE15" s="55"/>
      <c r="JF15" s="55"/>
      <c r="JG15" s="55"/>
      <c r="JH15" s="55"/>
      <c r="JI15" s="55"/>
      <c r="JJ15" s="55"/>
      <c r="JK15" s="55"/>
      <c r="JL15" s="55"/>
      <c r="JM15" s="55"/>
      <c r="JN15" s="55"/>
      <c r="JO15" s="55"/>
      <c r="JP15" s="55"/>
      <c r="JQ15" s="55"/>
      <c r="JR15" s="55"/>
      <c r="JS15" s="55"/>
      <c r="JT15" s="55"/>
      <c r="JU15" s="55"/>
      <c r="JV15" s="55"/>
      <c r="JW15" s="55"/>
      <c r="JX15" s="55"/>
      <c r="JY15" s="55"/>
      <c r="JZ15" s="55"/>
      <c r="KA15" s="55"/>
      <c r="KB15" s="55"/>
      <c r="KC15" s="55"/>
      <c r="KD15" s="55"/>
      <c r="KE15" s="55"/>
      <c r="KF15" s="55"/>
      <c r="KG15" s="55"/>
      <c r="KH15" s="55"/>
      <c r="KI15" s="55"/>
      <c r="KJ15" s="55"/>
      <c r="KK15" s="55"/>
      <c r="KL15" s="55"/>
      <c r="KM15" s="55"/>
      <c r="KN15" s="55"/>
      <c r="KO15" s="55"/>
      <c r="KP15" s="55"/>
      <c r="KQ15" s="55"/>
      <c r="KR15" s="55"/>
      <c r="KS15" s="55"/>
      <c r="KT15" s="55"/>
      <c r="KU15" s="55"/>
      <c r="KV15" s="55"/>
      <c r="KW15" s="55"/>
      <c r="KX15" s="55"/>
      <c r="KY15" s="55"/>
      <c r="KZ15" s="55"/>
      <c r="LA15" s="55"/>
      <c r="LB15" s="55"/>
      <c r="LC15" s="55"/>
      <c r="LD15" s="55"/>
      <c r="LE15" s="55"/>
      <c r="LF15" s="55"/>
      <c r="LG15" s="55"/>
      <c r="LH15" s="55"/>
      <c r="LI15" s="55"/>
      <c r="LJ15" s="55"/>
      <c r="LK15" s="55"/>
      <c r="LL15" s="55"/>
      <c r="LM15" s="55"/>
      <c r="LN15" s="55"/>
      <c r="LO15" s="55"/>
      <c r="LP15" s="55"/>
      <c r="LQ15" s="55"/>
      <c r="LR15" s="55"/>
      <c r="LS15" s="55"/>
      <c r="LT15" s="55"/>
      <c r="LU15" s="55"/>
      <c r="LV15" s="55"/>
      <c r="LW15" s="55"/>
      <c r="LX15" s="55"/>
      <c r="LY15" s="55"/>
      <c r="LZ15" s="55"/>
      <c r="MA15" s="55"/>
      <c r="MB15" s="55"/>
      <c r="MC15" s="55"/>
      <c r="MD15" s="55"/>
      <c r="ME15" s="55"/>
      <c r="MF15" s="55"/>
      <c r="MG15" s="55"/>
      <c r="MH15" s="55"/>
      <c r="MI15" s="55"/>
      <c r="MJ15" s="55"/>
      <c r="MK15" s="55"/>
      <c r="ML15" s="55"/>
      <c r="MM15" s="55"/>
      <c r="MN15" s="55"/>
      <c r="MO15" s="55"/>
      <c r="MP15" s="55"/>
      <c r="MQ15" s="55"/>
      <c r="MR15" s="55"/>
      <c r="MS15" s="55"/>
      <c r="MT15" s="55"/>
      <c r="MU15" s="55"/>
      <c r="MV15" s="55"/>
      <c r="MW15" s="55"/>
      <c r="MX15" s="55"/>
      <c r="MY15" s="55"/>
      <c r="MZ15" s="55"/>
      <c r="NA15" s="55"/>
      <c r="NB15" s="55"/>
      <c r="NC15" s="55"/>
      <c r="ND15" s="55"/>
      <c r="NE15" s="55"/>
      <c r="NF15" s="55"/>
      <c r="NG15" s="55"/>
      <c r="NH15" s="55"/>
      <c r="NI15" s="4"/>
      <c r="NJ15" s="4"/>
    </row>
    <row r="16" spans="1:375" x14ac:dyDescent="0.2">
      <c r="B16" s="60"/>
      <c r="C16" s="61"/>
      <c r="D16" s="60"/>
      <c r="E16" s="62"/>
      <c r="F16" s="62"/>
      <c r="G16" s="55"/>
      <c r="H16" s="55"/>
      <c r="I16" s="55"/>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c r="BX16" s="55"/>
      <c r="BY16" s="55"/>
      <c r="BZ16" s="55"/>
      <c r="CA16" s="55"/>
      <c r="CB16" s="55"/>
      <c r="CC16" s="55"/>
      <c r="CD16" s="55"/>
      <c r="CE16" s="55"/>
      <c r="CF16" s="55"/>
      <c r="CG16" s="55"/>
      <c r="CH16" s="55"/>
      <c r="CI16" s="55"/>
      <c r="CJ16" s="55"/>
      <c r="CK16" s="55"/>
      <c r="CL16" s="55"/>
      <c r="CM16" s="55"/>
      <c r="CN16" s="55"/>
      <c r="CO16" s="55"/>
      <c r="CP16" s="55"/>
      <c r="CQ16" s="55"/>
      <c r="CR16" s="55"/>
      <c r="CS16" s="55"/>
      <c r="CT16" s="55"/>
      <c r="CU16" s="55"/>
      <c r="CV16" s="55"/>
      <c r="CW16" s="55"/>
      <c r="CX16" s="55"/>
      <c r="CY16" s="55"/>
      <c r="CZ16" s="55"/>
      <c r="DA16" s="55"/>
      <c r="DB16" s="55"/>
      <c r="DC16" s="55"/>
      <c r="DD16" s="55"/>
      <c r="DE16" s="55"/>
      <c r="DF16" s="55"/>
      <c r="DG16" s="55"/>
      <c r="DH16" s="55"/>
      <c r="DI16" s="55"/>
      <c r="DJ16" s="55"/>
      <c r="DK16" s="55"/>
      <c r="DL16" s="55"/>
      <c r="DM16" s="55"/>
      <c r="DN16" s="55"/>
      <c r="DO16" s="55"/>
      <c r="DP16" s="55"/>
      <c r="DQ16" s="55"/>
      <c r="DR16" s="55"/>
      <c r="DS16" s="55"/>
      <c r="DT16" s="55"/>
      <c r="DU16" s="55"/>
      <c r="DV16" s="55"/>
      <c r="DW16" s="55"/>
      <c r="DX16" s="55"/>
      <c r="DY16" s="55"/>
      <c r="DZ16" s="55"/>
      <c r="EA16" s="55"/>
      <c r="EB16" s="55"/>
      <c r="EC16" s="55"/>
      <c r="ED16" s="55"/>
      <c r="EE16" s="55"/>
      <c r="EF16" s="55"/>
      <c r="EG16" s="55"/>
      <c r="EH16" s="55"/>
      <c r="EI16" s="55"/>
      <c r="EJ16" s="55"/>
      <c r="EK16" s="55"/>
      <c r="EL16" s="55"/>
      <c r="EM16" s="55"/>
      <c r="EN16" s="55"/>
      <c r="EO16" s="55"/>
      <c r="EP16" s="55"/>
      <c r="EQ16" s="55"/>
      <c r="ER16" s="55"/>
      <c r="ES16" s="55"/>
      <c r="ET16" s="55"/>
      <c r="EU16" s="55"/>
      <c r="EV16" s="55"/>
      <c r="EW16" s="55"/>
      <c r="EX16" s="55"/>
      <c r="EY16" s="55"/>
      <c r="EZ16" s="55"/>
      <c r="FA16" s="55"/>
      <c r="FB16" s="55"/>
      <c r="FC16" s="55"/>
      <c r="FD16" s="55"/>
      <c r="FE16" s="55"/>
      <c r="FF16" s="55"/>
      <c r="FG16" s="55"/>
      <c r="FH16" s="55"/>
      <c r="FI16" s="55"/>
      <c r="FJ16" s="55"/>
      <c r="FK16" s="55"/>
      <c r="FL16" s="55"/>
      <c r="FM16" s="55"/>
      <c r="FN16" s="55"/>
      <c r="FO16" s="55"/>
      <c r="FP16" s="55"/>
      <c r="FQ16" s="55"/>
      <c r="FR16" s="55"/>
      <c r="FS16" s="55"/>
      <c r="FT16" s="55"/>
      <c r="FU16" s="55"/>
      <c r="FV16" s="55"/>
      <c r="FW16" s="55"/>
      <c r="FX16" s="55"/>
      <c r="FY16" s="55"/>
      <c r="FZ16" s="55"/>
      <c r="GA16" s="55"/>
      <c r="GB16" s="55"/>
      <c r="GC16" s="55"/>
      <c r="GD16" s="55"/>
      <c r="GE16" s="55"/>
      <c r="GF16" s="55"/>
      <c r="GG16" s="55"/>
      <c r="GH16" s="55"/>
      <c r="GI16" s="55"/>
      <c r="GJ16" s="55"/>
      <c r="GK16" s="55"/>
      <c r="GL16" s="55"/>
      <c r="GM16" s="55"/>
      <c r="GN16" s="55"/>
      <c r="GO16" s="55"/>
      <c r="GP16" s="55"/>
      <c r="GQ16" s="55"/>
      <c r="GR16" s="55"/>
      <c r="GS16" s="55"/>
      <c r="GT16" s="55"/>
      <c r="GU16" s="55"/>
      <c r="GV16" s="55"/>
      <c r="GW16" s="55"/>
      <c r="GX16" s="55"/>
      <c r="GY16" s="55"/>
      <c r="GZ16" s="55"/>
      <c r="HA16" s="55"/>
      <c r="HB16" s="55"/>
      <c r="HC16" s="55"/>
      <c r="HD16" s="55"/>
      <c r="HE16" s="55"/>
      <c r="HF16" s="55"/>
      <c r="HG16" s="55"/>
      <c r="HH16" s="55"/>
      <c r="HI16" s="55"/>
      <c r="HJ16" s="55"/>
      <c r="HK16" s="55"/>
      <c r="HL16" s="55"/>
      <c r="HM16" s="55"/>
      <c r="HN16" s="55"/>
      <c r="HO16" s="55"/>
      <c r="HP16" s="55"/>
      <c r="HQ16" s="55"/>
      <c r="HR16" s="55"/>
      <c r="HS16" s="55"/>
      <c r="HT16" s="55"/>
      <c r="HU16" s="55"/>
      <c r="HV16" s="55"/>
      <c r="HW16" s="55"/>
      <c r="HX16" s="55"/>
      <c r="HY16" s="55"/>
      <c r="HZ16" s="55"/>
      <c r="IA16" s="55"/>
      <c r="IB16" s="55"/>
      <c r="IC16" s="55"/>
      <c r="ID16" s="55"/>
      <c r="IE16" s="55"/>
      <c r="IF16" s="55"/>
      <c r="IG16" s="55"/>
      <c r="IH16" s="55"/>
      <c r="II16" s="55"/>
      <c r="IJ16" s="55"/>
      <c r="IK16" s="55"/>
      <c r="IL16" s="55"/>
      <c r="IM16" s="55"/>
      <c r="IN16" s="55"/>
      <c r="IO16" s="55"/>
      <c r="IP16" s="55"/>
      <c r="IQ16" s="55"/>
      <c r="IR16" s="55"/>
      <c r="IS16" s="55"/>
      <c r="IT16" s="55"/>
      <c r="IU16" s="55"/>
      <c r="IV16" s="55"/>
      <c r="IW16" s="55"/>
      <c r="IX16" s="55"/>
      <c r="IY16" s="55"/>
      <c r="IZ16" s="55"/>
      <c r="JA16" s="55"/>
      <c r="JB16" s="55"/>
      <c r="JC16" s="55"/>
      <c r="JD16" s="55"/>
      <c r="JE16" s="55"/>
      <c r="JF16" s="55"/>
      <c r="JG16" s="55"/>
      <c r="JH16" s="55"/>
      <c r="JI16" s="55"/>
      <c r="JJ16" s="55"/>
      <c r="JK16" s="55"/>
      <c r="JL16" s="55"/>
      <c r="JM16" s="55"/>
      <c r="JN16" s="55"/>
      <c r="JO16" s="55"/>
      <c r="JP16" s="55"/>
      <c r="JQ16" s="55"/>
      <c r="JR16" s="55"/>
      <c r="JS16" s="55"/>
      <c r="JT16" s="55"/>
      <c r="JU16" s="55"/>
      <c r="JV16" s="55"/>
      <c r="JW16" s="55"/>
      <c r="JX16" s="55"/>
      <c r="JY16" s="55"/>
      <c r="JZ16" s="55"/>
      <c r="KA16" s="55"/>
      <c r="KB16" s="55"/>
      <c r="KC16" s="55"/>
      <c r="KD16" s="55"/>
      <c r="KE16" s="55"/>
      <c r="KF16" s="55"/>
      <c r="KG16" s="55"/>
      <c r="KH16" s="55"/>
      <c r="KI16" s="55"/>
      <c r="KJ16" s="55"/>
      <c r="KK16" s="55"/>
      <c r="KL16" s="55"/>
      <c r="KM16" s="55"/>
      <c r="KN16" s="55"/>
      <c r="KO16" s="55"/>
      <c r="KP16" s="55"/>
      <c r="KQ16" s="55"/>
      <c r="KR16" s="55"/>
      <c r="KS16" s="55"/>
      <c r="KT16" s="55"/>
      <c r="KU16" s="55"/>
      <c r="KV16" s="55"/>
      <c r="KW16" s="55"/>
      <c r="KX16" s="55"/>
      <c r="KY16" s="55"/>
      <c r="KZ16" s="55"/>
      <c r="LA16" s="55"/>
      <c r="LB16" s="55"/>
      <c r="LC16" s="55"/>
      <c r="LD16" s="55"/>
      <c r="LE16" s="55"/>
      <c r="LF16" s="55"/>
      <c r="LG16" s="55"/>
      <c r="LH16" s="55"/>
      <c r="LI16" s="55"/>
      <c r="LJ16" s="55"/>
      <c r="LK16" s="55"/>
      <c r="LL16" s="55"/>
      <c r="LM16" s="55"/>
      <c r="LN16" s="55"/>
      <c r="LO16" s="55"/>
      <c r="LP16" s="55"/>
      <c r="LQ16" s="55"/>
      <c r="LR16" s="55"/>
      <c r="LS16" s="55"/>
      <c r="LT16" s="55"/>
      <c r="LU16" s="55"/>
      <c r="LV16" s="55"/>
      <c r="LW16" s="55"/>
      <c r="LX16" s="55"/>
      <c r="LY16" s="55"/>
      <c r="LZ16" s="55"/>
      <c r="MA16" s="55"/>
      <c r="MB16" s="55"/>
      <c r="MC16" s="55"/>
      <c r="MD16" s="55"/>
      <c r="ME16" s="55"/>
      <c r="MF16" s="55"/>
      <c r="MG16" s="55"/>
      <c r="MH16" s="55"/>
      <c r="MI16" s="55"/>
      <c r="MJ16" s="55"/>
      <c r="MK16" s="55"/>
      <c r="ML16" s="55"/>
      <c r="MM16" s="55"/>
      <c r="MN16" s="55"/>
      <c r="MO16" s="55"/>
      <c r="MP16" s="55"/>
      <c r="MQ16" s="55"/>
      <c r="MR16" s="55"/>
      <c r="MS16" s="55"/>
      <c r="MT16" s="55"/>
      <c r="MU16" s="55"/>
      <c r="MV16" s="55"/>
      <c r="MW16" s="55"/>
      <c r="MX16" s="55"/>
      <c r="MY16" s="55"/>
      <c r="MZ16" s="55"/>
      <c r="NA16" s="55"/>
      <c r="NB16" s="55"/>
      <c r="NC16" s="55"/>
      <c r="ND16" s="55"/>
      <c r="NE16" s="55"/>
      <c r="NF16" s="55"/>
      <c r="NG16" s="55"/>
      <c r="NH16" s="55"/>
      <c r="NI16" s="4"/>
      <c r="NJ16" s="4"/>
    </row>
    <row r="17" spans="1:374" x14ac:dyDescent="0.2">
      <c r="B17" s="60"/>
      <c r="C17" s="61"/>
      <c r="D17" s="60"/>
      <c r="E17" s="62"/>
      <c r="F17" s="62"/>
      <c r="G17" s="55"/>
      <c r="H17" s="55"/>
      <c r="I17" s="55"/>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5"/>
      <c r="FA17" s="55"/>
      <c r="FB17" s="55"/>
      <c r="FC17" s="55"/>
      <c r="FD17" s="55"/>
      <c r="FE17" s="55"/>
      <c r="FF17" s="55"/>
      <c r="FG17" s="55"/>
      <c r="FH17" s="55"/>
      <c r="FI17" s="55"/>
      <c r="FJ17" s="55"/>
      <c r="FK17" s="55"/>
      <c r="FL17" s="55"/>
      <c r="FM17" s="55"/>
      <c r="FN17" s="55"/>
      <c r="FO17" s="55"/>
      <c r="FP17" s="55"/>
      <c r="FQ17" s="55"/>
      <c r="FR17" s="55"/>
      <c r="FS17" s="55"/>
      <c r="FT17" s="55"/>
      <c r="FU17" s="55"/>
      <c r="FV17" s="55"/>
      <c r="FW17" s="55"/>
      <c r="FX17" s="55"/>
      <c r="FY17" s="55"/>
      <c r="FZ17" s="55"/>
      <c r="GA17" s="55"/>
      <c r="GB17" s="55"/>
      <c r="GC17" s="55"/>
      <c r="GD17" s="55"/>
      <c r="GE17" s="55"/>
      <c r="GF17" s="55"/>
      <c r="GG17" s="55"/>
      <c r="GH17" s="55"/>
      <c r="GI17" s="55"/>
      <c r="GJ17" s="55"/>
      <c r="GK17" s="55"/>
      <c r="GL17" s="55"/>
      <c r="GM17" s="55"/>
      <c r="GN17" s="55"/>
      <c r="GO17" s="55"/>
      <c r="GP17" s="55"/>
      <c r="GQ17" s="55"/>
      <c r="GR17" s="55"/>
      <c r="GS17" s="55"/>
      <c r="GT17" s="55"/>
      <c r="GU17" s="55"/>
      <c r="GV17" s="55"/>
      <c r="GW17" s="55"/>
      <c r="GX17" s="55"/>
      <c r="GY17" s="55"/>
      <c r="GZ17" s="55"/>
      <c r="HA17" s="55"/>
      <c r="HB17" s="55"/>
      <c r="HC17" s="55"/>
      <c r="HD17" s="55"/>
      <c r="HE17" s="55"/>
      <c r="HF17" s="55"/>
      <c r="HG17" s="55"/>
      <c r="HH17" s="55"/>
      <c r="HI17" s="55"/>
      <c r="HJ17" s="55"/>
      <c r="HK17" s="55"/>
      <c r="HL17" s="55"/>
      <c r="HM17" s="55"/>
      <c r="HN17" s="55"/>
      <c r="HO17" s="55"/>
      <c r="HP17" s="55"/>
      <c r="HQ17" s="55"/>
      <c r="HR17" s="55"/>
      <c r="HS17" s="55"/>
      <c r="HT17" s="55"/>
      <c r="HU17" s="55"/>
      <c r="HV17" s="55"/>
      <c r="HW17" s="55"/>
      <c r="HX17" s="55"/>
      <c r="HY17" s="55"/>
      <c r="HZ17" s="55"/>
      <c r="IA17" s="55"/>
      <c r="IB17" s="55"/>
      <c r="IC17" s="55"/>
      <c r="ID17" s="55"/>
      <c r="IE17" s="55"/>
      <c r="IF17" s="55"/>
      <c r="IG17" s="55"/>
      <c r="IH17" s="55"/>
      <c r="II17" s="55"/>
      <c r="IJ17" s="55"/>
      <c r="IK17" s="55"/>
      <c r="IL17" s="55"/>
      <c r="IM17" s="55"/>
      <c r="IN17" s="55"/>
      <c r="IO17" s="55"/>
      <c r="IP17" s="55"/>
      <c r="IQ17" s="55"/>
      <c r="IR17" s="55"/>
      <c r="IS17" s="55"/>
      <c r="IT17" s="55"/>
      <c r="IU17" s="55"/>
      <c r="IV17" s="55"/>
      <c r="IW17" s="55"/>
      <c r="IX17" s="55"/>
      <c r="IY17" s="55"/>
      <c r="IZ17" s="55"/>
      <c r="JA17" s="55"/>
      <c r="JB17" s="55"/>
      <c r="JC17" s="55"/>
      <c r="JD17" s="55"/>
      <c r="JE17" s="55"/>
      <c r="JF17" s="55"/>
      <c r="JG17" s="55"/>
      <c r="JH17" s="55"/>
      <c r="JI17" s="55"/>
      <c r="JJ17" s="55"/>
      <c r="JK17" s="55"/>
      <c r="JL17" s="55"/>
      <c r="JM17" s="55"/>
      <c r="JN17" s="55"/>
      <c r="JO17" s="55"/>
      <c r="JP17" s="55"/>
      <c r="JQ17" s="55"/>
      <c r="JR17" s="55"/>
      <c r="JS17" s="55"/>
      <c r="JT17" s="55"/>
      <c r="JU17" s="55"/>
      <c r="JV17" s="55"/>
      <c r="JW17" s="55"/>
      <c r="JX17" s="55"/>
      <c r="JY17" s="55"/>
      <c r="JZ17" s="55"/>
      <c r="KA17" s="55"/>
      <c r="KB17" s="55"/>
      <c r="KC17" s="55"/>
      <c r="KD17" s="55"/>
      <c r="KE17" s="55"/>
      <c r="KF17" s="55"/>
      <c r="KG17" s="55"/>
      <c r="KH17" s="55"/>
      <c r="KI17" s="55"/>
      <c r="KJ17" s="55"/>
      <c r="KK17" s="55"/>
      <c r="KL17" s="55"/>
      <c r="KM17" s="55"/>
      <c r="KN17" s="55"/>
      <c r="KO17" s="55"/>
      <c r="KP17" s="55"/>
      <c r="KQ17" s="55"/>
      <c r="KR17" s="55"/>
      <c r="KS17" s="55"/>
      <c r="KT17" s="55"/>
      <c r="KU17" s="55"/>
      <c r="KV17" s="55"/>
      <c r="KW17" s="55"/>
      <c r="KX17" s="55"/>
      <c r="KY17" s="55"/>
      <c r="KZ17" s="55"/>
      <c r="LA17" s="55"/>
      <c r="LB17" s="55"/>
      <c r="LC17" s="55"/>
      <c r="LD17" s="55"/>
      <c r="LE17" s="55"/>
      <c r="LF17" s="55"/>
      <c r="LG17" s="55"/>
      <c r="LH17" s="55"/>
      <c r="LI17" s="55"/>
      <c r="LJ17" s="55"/>
      <c r="LK17" s="55"/>
      <c r="LL17" s="55"/>
      <c r="LM17" s="55"/>
      <c r="LN17" s="55"/>
      <c r="LO17" s="55"/>
      <c r="LP17" s="55"/>
      <c r="LQ17" s="55"/>
      <c r="LR17" s="55"/>
      <c r="LS17" s="55"/>
      <c r="LT17" s="55"/>
      <c r="LU17" s="55"/>
      <c r="LV17" s="55"/>
      <c r="LW17" s="55"/>
      <c r="LX17" s="55"/>
      <c r="LY17" s="55"/>
      <c r="LZ17" s="55"/>
      <c r="MA17" s="55"/>
      <c r="MB17" s="55"/>
      <c r="MC17" s="55"/>
      <c r="MD17" s="55"/>
      <c r="ME17" s="55"/>
      <c r="MF17" s="55"/>
      <c r="MG17" s="55"/>
      <c r="MH17" s="55"/>
      <c r="MI17" s="55"/>
      <c r="MJ17" s="55"/>
      <c r="MK17" s="55"/>
      <c r="ML17" s="55"/>
      <c r="MM17" s="55"/>
      <c r="MN17" s="55"/>
      <c r="MO17" s="55"/>
      <c r="MP17" s="55"/>
      <c r="MQ17" s="55"/>
      <c r="MR17" s="55"/>
      <c r="MS17" s="55"/>
      <c r="MT17" s="55"/>
      <c r="MU17" s="55"/>
      <c r="MV17" s="55"/>
      <c r="MW17" s="55"/>
      <c r="MX17" s="55"/>
      <c r="MY17" s="55"/>
      <c r="MZ17" s="55"/>
      <c r="NA17" s="55"/>
      <c r="NB17" s="55"/>
      <c r="NC17" s="55"/>
      <c r="ND17" s="55"/>
      <c r="NE17" s="55"/>
      <c r="NF17" s="55"/>
      <c r="NG17" s="55"/>
      <c r="NH17" s="55"/>
      <c r="NI17" s="4"/>
      <c r="NJ17" s="4"/>
    </row>
    <row r="18" spans="1:374" x14ac:dyDescent="0.2">
      <c r="B18" s="60"/>
      <c r="C18" s="61"/>
      <c r="D18" s="60"/>
      <c r="E18" s="62"/>
      <c r="F18" s="62"/>
      <c r="G18" s="55"/>
      <c r="H18" s="55"/>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c r="BZ18" s="55"/>
      <c r="CA18" s="55"/>
      <c r="CB18" s="55"/>
      <c r="CC18" s="55"/>
      <c r="CD18" s="55"/>
      <c r="CE18" s="55"/>
      <c r="CF18" s="55"/>
      <c r="CG18" s="55"/>
      <c r="CH18" s="55"/>
      <c r="CI18" s="55"/>
      <c r="CJ18" s="55"/>
      <c r="CK18" s="55"/>
      <c r="CL18" s="55"/>
      <c r="CM18" s="55"/>
      <c r="CN18" s="55"/>
      <c r="CO18" s="55"/>
      <c r="CP18" s="55"/>
      <c r="CQ18" s="55"/>
      <c r="CR18" s="55"/>
      <c r="CS18" s="55"/>
      <c r="CT18" s="55"/>
      <c r="CU18" s="55"/>
      <c r="CV18" s="55"/>
      <c r="CW18" s="55"/>
      <c r="CX18" s="55"/>
      <c r="CY18" s="55"/>
      <c r="CZ18" s="55"/>
      <c r="DA18" s="55"/>
      <c r="DB18" s="55"/>
      <c r="DC18" s="55"/>
      <c r="DD18" s="55"/>
      <c r="DE18" s="55"/>
      <c r="DF18" s="55"/>
      <c r="DG18" s="55"/>
      <c r="DH18" s="55"/>
      <c r="DI18" s="55"/>
      <c r="DJ18" s="55"/>
      <c r="DK18" s="55"/>
      <c r="DL18" s="55"/>
      <c r="DM18" s="55"/>
      <c r="DN18" s="55"/>
      <c r="DO18" s="55"/>
      <c r="DP18" s="55"/>
      <c r="DQ18" s="55"/>
      <c r="DR18" s="55"/>
      <c r="DS18" s="55"/>
      <c r="DT18" s="55"/>
      <c r="DU18" s="55"/>
      <c r="DV18" s="55"/>
      <c r="DW18" s="55"/>
      <c r="DX18" s="55"/>
      <c r="DY18" s="55"/>
      <c r="DZ18" s="55"/>
      <c r="EA18" s="55"/>
      <c r="EB18" s="55"/>
      <c r="EC18" s="55"/>
      <c r="ED18" s="55"/>
      <c r="EE18" s="55"/>
      <c r="EF18" s="55"/>
      <c r="EG18" s="55"/>
      <c r="EH18" s="55"/>
      <c r="EI18" s="55"/>
      <c r="EJ18" s="55"/>
      <c r="EK18" s="55"/>
      <c r="EL18" s="55"/>
      <c r="EM18" s="55"/>
      <c r="EN18" s="55"/>
      <c r="EO18" s="55"/>
      <c r="EP18" s="55"/>
      <c r="EQ18" s="55"/>
      <c r="ER18" s="55"/>
      <c r="ES18" s="55"/>
      <c r="ET18" s="55"/>
      <c r="EU18" s="55"/>
      <c r="EV18" s="55"/>
      <c r="EW18" s="55"/>
      <c r="EX18" s="55"/>
      <c r="EY18" s="55"/>
      <c r="EZ18" s="55"/>
      <c r="FA18" s="55"/>
      <c r="FB18" s="55"/>
      <c r="FC18" s="55"/>
      <c r="FD18" s="55"/>
      <c r="FE18" s="55"/>
      <c r="FF18" s="55"/>
      <c r="FG18" s="55"/>
      <c r="FH18" s="55"/>
      <c r="FI18" s="55"/>
      <c r="FJ18" s="55"/>
      <c r="FK18" s="55"/>
      <c r="FL18" s="55"/>
      <c r="FM18" s="55"/>
      <c r="FN18" s="55"/>
      <c r="FO18" s="55"/>
      <c r="FP18" s="55"/>
      <c r="FQ18" s="55"/>
      <c r="FR18" s="55"/>
      <c r="FS18" s="55"/>
      <c r="FT18" s="55"/>
      <c r="FU18" s="55"/>
      <c r="FV18" s="55"/>
      <c r="FW18" s="55"/>
      <c r="FX18" s="55"/>
      <c r="FY18" s="55"/>
      <c r="FZ18" s="55"/>
      <c r="GA18" s="55"/>
      <c r="GB18" s="55"/>
      <c r="GC18" s="55"/>
      <c r="GD18" s="55"/>
      <c r="GE18" s="55"/>
      <c r="GF18" s="55"/>
      <c r="GG18" s="55"/>
      <c r="GH18" s="55"/>
      <c r="GI18" s="55"/>
      <c r="GJ18" s="55"/>
      <c r="GK18" s="55"/>
      <c r="GL18" s="55"/>
      <c r="GM18" s="55"/>
      <c r="GN18" s="55"/>
      <c r="GO18" s="55"/>
      <c r="GP18" s="55"/>
      <c r="GQ18" s="55"/>
      <c r="GR18" s="55"/>
      <c r="GS18" s="55"/>
      <c r="GT18" s="55"/>
      <c r="GU18" s="55"/>
      <c r="GV18" s="55"/>
      <c r="GW18" s="55"/>
      <c r="GX18" s="55"/>
      <c r="GY18" s="55"/>
      <c r="GZ18" s="55"/>
      <c r="HA18" s="55"/>
      <c r="HB18" s="55"/>
      <c r="HC18" s="55"/>
      <c r="HD18" s="55"/>
      <c r="HE18" s="55"/>
      <c r="HF18" s="55"/>
      <c r="HG18" s="55"/>
      <c r="HH18" s="55"/>
      <c r="HI18" s="55"/>
      <c r="HJ18" s="55"/>
      <c r="HK18" s="55"/>
      <c r="HL18" s="55"/>
      <c r="HM18" s="55"/>
      <c r="HN18" s="55"/>
      <c r="HO18" s="55"/>
      <c r="HP18" s="55"/>
      <c r="HQ18" s="55"/>
      <c r="HR18" s="55"/>
      <c r="HS18" s="55"/>
      <c r="HT18" s="55"/>
      <c r="HU18" s="55"/>
      <c r="HV18" s="55"/>
      <c r="HW18" s="55"/>
      <c r="HX18" s="55"/>
      <c r="HY18" s="55"/>
      <c r="HZ18" s="55"/>
      <c r="IA18" s="55"/>
      <c r="IB18" s="55"/>
      <c r="IC18" s="55"/>
      <c r="ID18" s="55"/>
      <c r="IE18" s="55"/>
      <c r="IF18" s="55"/>
      <c r="IG18" s="55"/>
      <c r="IH18" s="55"/>
      <c r="II18" s="55"/>
      <c r="IJ18" s="55"/>
      <c r="IK18" s="55"/>
      <c r="IL18" s="55"/>
      <c r="IM18" s="55"/>
      <c r="IN18" s="55"/>
      <c r="IO18" s="55"/>
      <c r="IP18" s="55"/>
      <c r="IQ18" s="55"/>
      <c r="IR18" s="55"/>
      <c r="IS18" s="55"/>
      <c r="IT18" s="55"/>
      <c r="IU18" s="55"/>
      <c r="IV18" s="55"/>
      <c r="IW18" s="55"/>
      <c r="IX18" s="55"/>
      <c r="IY18" s="55"/>
      <c r="IZ18" s="55"/>
      <c r="JA18" s="55"/>
      <c r="JB18" s="55"/>
      <c r="JC18" s="55"/>
      <c r="JD18" s="55"/>
      <c r="JE18" s="55"/>
      <c r="JF18" s="55"/>
      <c r="JG18" s="55"/>
      <c r="JH18" s="55"/>
      <c r="JI18" s="55"/>
      <c r="JJ18" s="55"/>
      <c r="JK18" s="55"/>
      <c r="JL18" s="55"/>
      <c r="JM18" s="55"/>
      <c r="JN18" s="55"/>
      <c r="JO18" s="55"/>
      <c r="JP18" s="55"/>
      <c r="JQ18" s="55"/>
      <c r="JR18" s="55"/>
      <c r="JS18" s="55"/>
      <c r="JT18" s="55"/>
      <c r="JU18" s="55"/>
      <c r="JV18" s="55"/>
      <c r="JW18" s="55"/>
      <c r="JX18" s="55"/>
      <c r="JY18" s="55"/>
      <c r="JZ18" s="55"/>
      <c r="KA18" s="55"/>
      <c r="KB18" s="55"/>
      <c r="KC18" s="55"/>
      <c r="KD18" s="55"/>
      <c r="KE18" s="55"/>
      <c r="KF18" s="55"/>
      <c r="KG18" s="55"/>
      <c r="KH18" s="55"/>
      <c r="KI18" s="55"/>
      <c r="KJ18" s="55"/>
      <c r="KK18" s="55"/>
      <c r="KL18" s="55"/>
      <c r="KM18" s="55"/>
      <c r="KN18" s="55"/>
      <c r="KO18" s="55"/>
      <c r="KP18" s="55"/>
      <c r="KQ18" s="55"/>
      <c r="KR18" s="55"/>
      <c r="KS18" s="55"/>
      <c r="KT18" s="55"/>
      <c r="KU18" s="55"/>
      <c r="KV18" s="55"/>
      <c r="KW18" s="55"/>
      <c r="KX18" s="55"/>
      <c r="KY18" s="55"/>
      <c r="KZ18" s="55"/>
      <c r="LA18" s="55"/>
      <c r="LB18" s="55"/>
      <c r="LC18" s="55"/>
      <c r="LD18" s="55"/>
      <c r="LE18" s="55"/>
      <c r="LF18" s="55"/>
      <c r="LG18" s="55"/>
      <c r="LH18" s="55"/>
      <c r="LI18" s="55"/>
      <c r="LJ18" s="55"/>
      <c r="LK18" s="55"/>
      <c r="LL18" s="55"/>
      <c r="LM18" s="55"/>
      <c r="LN18" s="55"/>
      <c r="LO18" s="55"/>
      <c r="LP18" s="55"/>
      <c r="LQ18" s="55"/>
      <c r="LR18" s="55"/>
      <c r="LS18" s="55"/>
      <c r="LT18" s="55"/>
      <c r="LU18" s="55"/>
      <c r="LV18" s="55"/>
      <c r="LW18" s="55"/>
      <c r="LX18" s="55"/>
      <c r="LY18" s="55"/>
      <c r="LZ18" s="55"/>
      <c r="MA18" s="55"/>
      <c r="MB18" s="55"/>
      <c r="MC18" s="55"/>
      <c r="MD18" s="55"/>
      <c r="ME18" s="55"/>
      <c r="MF18" s="55"/>
      <c r="MG18" s="55"/>
      <c r="MH18" s="55"/>
      <c r="MI18" s="55"/>
      <c r="MJ18" s="55"/>
      <c r="MK18" s="55"/>
      <c r="ML18" s="55"/>
      <c r="MM18" s="55"/>
      <c r="MN18" s="55"/>
      <c r="MO18" s="55"/>
      <c r="MP18" s="55"/>
      <c r="MQ18" s="55"/>
      <c r="MR18" s="55"/>
      <c r="MS18" s="55"/>
      <c r="MT18" s="55"/>
      <c r="MU18" s="55"/>
      <c r="MV18" s="55"/>
      <c r="MW18" s="55"/>
      <c r="MX18" s="55"/>
      <c r="MY18" s="55"/>
      <c r="MZ18" s="55"/>
      <c r="NA18" s="55"/>
      <c r="NB18" s="55"/>
      <c r="NC18" s="55"/>
      <c r="ND18" s="55"/>
      <c r="NE18" s="55"/>
      <c r="NF18" s="55"/>
      <c r="NG18" s="55"/>
      <c r="NH18" s="55"/>
      <c r="NI18" s="4"/>
      <c r="NJ18" s="4"/>
    </row>
    <row r="19" spans="1:374" x14ac:dyDescent="0.2">
      <c r="B19" s="60"/>
      <c r="C19" s="61"/>
      <c r="D19" s="60"/>
      <c r="E19" s="62"/>
      <c r="F19" s="62"/>
      <c r="G19" s="55"/>
      <c r="H19" s="55"/>
      <c r="I19" s="55"/>
      <c r="J19" s="55"/>
      <c r="K19" s="55"/>
      <c r="L19" s="55"/>
      <c r="M19" s="55"/>
      <c r="N19" s="55"/>
      <c r="O19" s="55"/>
      <c r="P19" s="55"/>
      <c r="Q19" s="55"/>
      <c r="R19" s="55"/>
      <c r="S19" s="55"/>
      <c r="T19" s="55"/>
      <c r="U19" s="55"/>
      <c r="V19" s="55"/>
      <c r="W19" s="55"/>
      <c r="X19" s="55"/>
      <c r="Y19" s="55"/>
      <c r="Z19" s="55"/>
      <c r="AA19" s="55"/>
      <c r="AB19" s="55"/>
      <c r="AC19" s="55"/>
      <c r="AD19" s="55"/>
      <c r="AE19" s="55"/>
      <c r="AF19" s="55"/>
      <c r="AG19" s="55"/>
      <c r="AH19" s="55"/>
      <c r="AI19" s="55"/>
      <c r="AJ19" s="55"/>
      <c r="AK19" s="55"/>
      <c r="AL19" s="55"/>
      <c r="AM19" s="55"/>
      <c r="AN19" s="55"/>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c r="BV19" s="55"/>
      <c r="BW19" s="55"/>
      <c r="BX19" s="55"/>
      <c r="BY19" s="55"/>
      <c r="BZ19" s="55"/>
      <c r="CA19" s="55"/>
      <c r="CB19" s="55"/>
      <c r="CC19" s="55"/>
      <c r="CD19" s="55"/>
      <c r="CE19" s="55"/>
      <c r="CF19" s="55"/>
      <c r="CG19" s="55"/>
      <c r="CH19" s="55"/>
      <c r="CI19" s="55"/>
      <c r="CJ19" s="55"/>
      <c r="CK19" s="55"/>
      <c r="CL19" s="55"/>
      <c r="CM19" s="55"/>
      <c r="CN19" s="55"/>
      <c r="CO19" s="55"/>
      <c r="CP19" s="55"/>
      <c r="CQ19" s="55"/>
      <c r="CR19" s="55"/>
      <c r="CS19" s="55"/>
      <c r="CT19" s="55"/>
      <c r="CU19" s="55"/>
      <c r="CV19" s="55"/>
      <c r="CW19" s="55"/>
      <c r="CX19" s="55"/>
      <c r="CY19" s="55"/>
      <c r="CZ19" s="55"/>
      <c r="DA19" s="55"/>
      <c r="DB19" s="55"/>
      <c r="DC19" s="55"/>
      <c r="DD19" s="55"/>
      <c r="DE19" s="55"/>
      <c r="DF19" s="55"/>
      <c r="DG19" s="55"/>
      <c r="DH19" s="55"/>
      <c r="DI19" s="55"/>
      <c r="DJ19" s="55"/>
      <c r="DK19" s="55"/>
      <c r="DL19" s="55"/>
      <c r="DM19" s="55"/>
      <c r="DN19" s="55"/>
      <c r="DO19" s="55"/>
      <c r="DP19" s="55"/>
      <c r="DQ19" s="55"/>
      <c r="DR19" s="55"/>
      <c r="DS19" s="55"/>
      <c r="DT19" s="55"/>
      <c r="DU19" s="55"/>
      <c r="DV19" s="55"/>
      <c r="DW19" s="55"/>
      <c r="DX19" s="55"/>
      <c r="DY19" s="55"/>
      <c r="DZ19" s="55"/>
      <c r="EA19" s="55"/>
      <c r="EB19" s="55"/>
      <c r="EC19" s="55"/>
      <c r="ED19" s="55"/>
      <c r="EE19" s="55"/>
      <c r="EF19" s="55"/>
      <c r="EG19" s="55"/>
      <c r="EH19" s="55"/>
      <c r="EI19" s="55"/>
      <c r="EJ19" s="55"/>
      <c r="EK19" s="55"/>
      <c r="EL19" s="55"/>
      <c r="EM19" s="55"/>
      <c r="EN19" s="55"/>
      <c r="EO19" s="55"/>
      <c r="EP19" s="55"/>
      <c r="EQ19" s="55"/>
      <c r="ER19" s="55"/>
      <c r="ES19" s="55"/>
      <c r="ET19" s="55"/>
      <c r="EU19" s="55"/>
      <c r="EV19" s="55"/>
      <c r="EW19" s="55"/>
      <c r="EX19" s="55"/>
      <c r="EY19" s="55"/>
      <c r="EZ19" s="55"/>
      <c r="FA19" s="55"/>
      <c r="FB19" s="55"/>
      <c r="FC19" s="55"/>
      <c r="FD19" s="55"/>
      <c r="FE19" s="55"/>
      <c r="FF19" s="55"/>
      <c r="FG19" s="55"/>
      <c r="FH19" s="55"/>
      <c r="FI19" s="55"/>
      <c r="FJ19" s="55"/>
      <c r="FK19" s="55"/>
      <c r="FL19" s="55"/>
      <c r="FM19" s="55"/>
      <c r="FN19" s="55"/>
      <c r="FO19" s="55"/>
      <c r="FP19" s="55"/>
      <c r="FQ19" s="55"/>
      <c r="FR19" s="55"/>
      <c r="FS19" s="55"/>
      <c r="FT19" s="55"/>
      <c r="FU19" s="55"/>
      <c r="FV19" s="55"/>
      <c r="FW19" s="55"/>
      <c r="FX19" s="55"/>
      <c r="FY19" s="55"/>
      <c r="FZ19" s="55"/>
      <c r="GA19" s="55"/>
      <c r="GB19" s="55"/>
      <c r="GC19" s="55"/>
      <c r="GD19" s="55"/>
      <c r="GE19" s="55"/>
      <c r="GF19" s="55"/>
      <c r="GG19" s="55"/>
      <c r="GH19" s="55"/>
      <c r="GI19" s="55"/>
      <c r="GJ19" s="55"/>
      <c r="GK19" s="55"/>
      <c r="GL19" s="55"/>
      <c r="GM19" s="55"/>
      <c r="GN19" s="55"/>
      <c r="GO19" s="55"/>
      <c r="GP19" s="55"/>
      <c r="GQ19" s="55"/>
      <c r="GR19" s="55"/>
      <c r="GS19" s="55"/>
      <c r="GT19" s="55"/>
      <c r="GU19" s="55"/>
      <c r="GV19" s="55"/>
      <c r="GW19" s="55"/>
      <c r="GX19" s="55"/>
      <c r="GY19" s="55"/>
      <c r="GZ19" s="55"/>
      <c r="HA19" s="55"/>
      <c r="HB19" s="55"/>
      <c r="HC19" s="55"/>
      <c r="HD19" s="55"/>
      <c r="HE19" s="55"/>
      <c r="HF19" s="55"/>
      <c r="HG19" s="55"/>
      <c r="HH19" s="55"/>
      <c r="HI19" s="55"/>
      <c r="HJ19" s="55"/>
      <c r="HK19" s="55"/>
      <c r="HL19" s="55"/>
      <c r="HM19" s="55"/>
      <c r="HN19" s="55"/>
      <c r="HO19" s="55"/>
      <c r="HP19" s="55"/>
      <c r="HQ19" s="55"/>
      <c r="HR19" s="55"/>
      <c r="HS19" s="55"/>
      <c r="HT19" s="55"/>
      <c r="HU19" s="55"/>
      <c r="HV19" s="55"/>
      <c r="HW19" s="55"/>
      <c r="HX19" s="55"/>
      <c r="HY19" s="55"/>
      <c r="HZ19" s="55"/>
      <c r="IA19" s="55"/>
      <c r="IB19" s="55"/>
      <c r="IC19" s="55"/>
      <c r="ID19" s="55"/>
      <c r="IE19" s="55"/>
      <c r="IF19" s="55"/>
      <c r="IG19" s="55"/>
      <c r="IH19" s="55"/>
      <c r="II19" s="55"/>
      <c r="IJ19" s="55"/>
      <c r="IK19" s="55"/>
      <c r="IL19" s="55"/>
      <c r="IM19" s="55"/>
      <c r="IN19" s="55"/>
      <c r="IO19" s="55"/>
      <c r="IP19" s="55"/>
      <c r="IQ19" s="55"/>
      <c r="IR19" s="55"/>
      <c r="IS19" s="55"/>
      <c r="IT19" s="55"/>
      <c r="IU19" s="55"/>
      <c r="IV19" s="55"/>
      <c r="IW19" s="55"/>
      <c r="IX19" s="55"/>
      <c r="IY19" s="55"/>
      <c r="IZ19" s="55"/>
      <c r="JA19" s="55"/>
      <c r="JB19" s="55"/>
      <c r="JC19" s="55"/>
      <c r="JD19" s="55"/>
      <c r="JE19" s="55"/>
      <c r="JF19" s="55"/>
      <c r="JG19" s="55"/>
      <c r="JH19" s="55"/>
      <c r="JI19" s="55"/>
      <c r="JJ19" s="55"/>
      <c r="JK19" s="55"/>
      <c r="JL19" s="55"/>
      <c r="JM19" s="55"/>
      <c r="JN19" s="55"/>
      <c r="JO19" s="55"/>
      <c r="JP19" s="55"/>
      <c r="JQ19" s="55"/>
      <c r="JR19" s="55"/>
      <c r="JS19" s="55"/>
      <c r="JT19" s="55"/>
      <c r="JU19" s="55"/>
      <c r="JV19" s="55"/>
      <c r="JW19" s="55"/>
      <c r="JX19" s="55"/>
      <c r="JY19" s="55"/>
      <c r="JZ19" s="55"/>
      <c r="KA19" s="55"/>
      <c r="KB19" s="55"/>
      <c r="KC19" s="55"/>
      <c r="KD19" s="55"/>
      <c r="KE19" s="55"/>
      <c r="KF19" s="55"/>
      <c r="KG19" s="55"/>
      <c r="KH19" s="55"/>
      <c r="KI19" s="55"/>
      <c r="KJ19" s="55"/>
      <c r="KK19" s="55"/>
      <c r="KL19" s="55"/>
      <c r="KM19" s="55"/>
      <c r="KN19" s="55"/>
      <c r="KO19" s="55"/>
      <c r="KP19" s="55"/>
      <c r="KQ19" s="55"/>
      <c r="KR19" s="55"/>
      <c r="KS19" s="55"/>
      <c r="KT19" s="55"/>
      <c r="KU19" s="55"/>
      <c r="KV19" s="55"/>
      <c r="KW19" s="55"/>
      <c r="KX19" s="55"/>
      <c r="KY19" s="55"/>
      <c r="KZ19" s="55"/>
      <c r="LA19" s="55"/>
      <c r="LB19" s="55"/>
      <c r="LC19" s="55"/>
      <c r="LD19" s="55"/>
      <c r="LE19" s="55"/>
      <c r="LF19" s="55"/>
      <c r="LG19" s="55"/>
      <c r="LH19" s="55"/>
      <c r="LI19" s="55"/>
      <c r="LJ19" s="55"/>
      <c r="LK19" s="55"/>
      <c r="LL19" s="55"/>
      <c r="LM19" s="55"/>
      <c r="LN19" s="55"/>
      <c r="LO19" s="55"/>
      <c r="LP19" s="55"/>
      <c r="LQ19" s="55"/>
      <c r="LR19" s="55"/>
      <c r="LS19" s="55"/>
      <c r="LT19" s="55"/>
      <c r="LU19" s="55"/>
      <c r="LV19" s="55"/>
      <c r="LW19" s="55"/>
      <c r="LX19" s="55"/>
      <c r="LY19" s="55"/>
      <c r="LZ19" s="55"/>
      <c r="MA19" s="55"/>
      <c r="MB19" s="55"/>
      <c r="MC19" s="55"/>
      <c r="MD19" s="55"/>
      <c r="ME19" s="55"/>
      <c r="MF19" s="55"/>
      <c r="MG19" s="55"/>
      <c r="MH19" s="55"/>
      <c r="MI19" s="55"/>
      <c r="MJ19" s="55"/>
      <c r="MK19" s="55"/>
      <c r="ML19" s="55"/>
      <c r="MM19" s="55"/>
      <c r="MN19" s="55"/>
      <c r="MO19" s="55"/>
      <c r="MP19" s="55"/>
      <c r="MQ19" s="55"/>
      <c r="MR19" s="55"/>
      <c r="MS19" s="55"/>
      <c r="MT19" s="55"/>
      <c r="MU19" s="55"/>
      <c r="MV19" s="55"/>
      <c r="MW19" s="55"/>
      <c r="MX19" s="55"/>
      <c r="MY19" s="55"/>
      <c r="MZ19" s="55"/>
      <c r="NA19" s="55"/>
      <c r="NB19" s="55"/>
      <c r="NC19" s="55"/>
      <c r="ND19" s="55"/>
      <c r="NE19" s="55"/>
      <c r="NF19" s="55"/>
      <c r="NG19" s="55"/>
      <c r="NH19" s="55"/>
      <c r="NI19" s="4"/>
      <c r="NJ19" s="4"/>
    </row>
    <row r="20" spans="1:374" x14ac:dyDescent="0.2">
      <c r="B20" s="60"/>
      <c r="C20" s="61"/>
      <c r="D20" s="60"/>
      <c r="E20" s="62"/>
      <c r="F20" s="62"/>
      <c r="G20" s="55"/>
      <c r="H20" s="55"/>
      <c r="I20" s="55"/>
      <c r="J20" s="55"/>
      <c r="K20" s="55"/>
      <c r="L20" s="55"/>
      <c r="M20" s="55"/>
      <c r="N20" s="55"/>
      <c r="O20" s="55"/>
      <c r="P20" s="55"/>
      <c r="Q20" s="55"/>
      <c r="R20" s="55"/>
      <c r="S20" s="55"/>
      <c r="T20" s="55"/>
      <c r="U20" s="55"/>
      <c r="V20" s="55"/>
      <c r="W20" s="55"/>
      <c r="X20" s="55"/>
      <c r="Y20" s="55"/>
      <c r="Z20" s="55"/>
      <c r="AA20" s="55"/>
      <c r="AB20" s="55"/>
      <c r="AC20" s="55"/>
      <c r="AD20" s="55"/>
      <c r="AE20" s="55"/>
      <c r="AF20" s="55"/>
      <c r="AG20" s="55"/>
      <c r="AH20" s="55"/>
      <c r="AI20" s="55"/>
      <c r="AJ20" s="55"/>
      <c r="AK20" s="55"/>
      <c r="AL20" s="55"/>
      <c r="AM20" s="55"/>
      <c r="AN20" s="55"/>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c r="BV20" s="55"/>
      <c r="BW20" s="55"/>
      <c r="BX20" s="55"/>
      <c r="BY20" s="55"/>
      <c r="BZ20" s="55"/>
      <c r="CA20" s="55"/>
      <c r="CB20" s="55"/>
      <c r="CC20" s="55"/>
      <c r="CD20" s="55"/>
      <c r="CE20" s="55"/>
      <c r="CF20" s="55"/>
      <c r="CG20" s="55"/>
      <c r="CH20" s="55"/>
      <c r="CI20" s="55"/>
      <c r="CJ20" s="55"/>
      <c r="CK20" s="55"/>
      <c r="CL20" s="55"/>
      <c r="CM20" s="55"/>
      <c r="CN20" s="55"/>
      <c r="CO20" s="55"/>
      <c r="CP20" s="55"/>
      <c r="CQ20" s="55"/>
      <c r="CR20" s="55"/>
      <c r="CS20" s="55"/>
      <c r="CT20" s="55"/>
      <c r="CU20" s="55"/>
      <c r="CV20" s="55"/>
      <c r="CW20" s="55"/>
      <c r="CX20" s="55"/>
      <c r="CY20" s="55"/>
      <c r="CZ20" s="55"/>
      <c r="DA20" s="55"/>
      <c r="DB20" s="55"/>
      <c r="DC20" s="55"/>
      <c r="DD20" s="55"/>
      <c r="DE20" s="55"/>
      <c r="DF20" s="55"/>
      <c r="DG20" s="55"/>
      <c r="DH20" s="55"/>
      <c r="DI20" s="55"/>
      <c r="DJ20" s="55"/>
      <c r="DK20" s="55"/>
      <c r="DL20" s="55"/>
      <c r="DM20" s="55"/>
      <c r="DN20" s="55"/>
      <c r="DO20" s="55"/>
      <c r="DP20" s="55"/>
      <c r="DQ20" s="55"/>
      <c r="DR20" s="55"/>
      <c r="DS20" s="55"/>
      <c r="DT20" s="55"/>
      <c r="DU20" s="55"/>
      <c r="DV20" s="55"/>
      <c r="DW20" s="55"/>
      <c r="DX20" s="55"/>
      <c r="DY20" s="55"/>
      <c r="DZ20" s="55"/>
      <c r="EA20" s="55"/>
      <c r="EB20" s="55"/>
      <c r="EC20" s="55"/>
      <c r="ED20" s="55"/>
      <c r="EE20" s="55"/>
      <c r="EF20" s="55"/>
      <c r="EG20" s="55"/>
      <c r="EH20" s="55"/>
      <c r="EI20" s="55"/>
      <c r="EJ20" s="55"/>
      <c r="EK20" s="55"/>
      <c r="EL20" s="55"/>
      <c r="EM20" s="55"/>
      <c r="EN20" s="55"/>
      <c r="EO20" s="55"/>
      <c r="EP20" s="55"/>
      <c r="EQ20" s="55"/>
      <c r="ER20" s="55"/>
      <c r="ES20" s="55"/>
      <c r="ET20" s="55"/>
      <c r="EU20" s="55"/>
      <c r="EV20" s="55"/>
      <c r="EW20" s="55"/>
      <c r="EX20" s="55"/>
      <c r="EY20" s="55"/>
      <c r="EZ20" s="55"/>
      <c r="FA20" s="55"/>
      <c r="FB20" s="55"/>
      <c r="FC20" s="55"/>
      <c r="FD20" s="55"/>
      <c r="FE20" s="55"/>
      <c r="FF20" s="55"/>
      <c r="FG20" s="55"/>
      <c r="FH20" s="55"/>
      <c r="FI20" s="55"/>
      <c r="FJ20" s="55"/>
      <c r="FK20" s="55"/>
      <c r="FL20" s="55"/>
      <c r="FM20" s="55"/>
      <c r="FN20" s="55"/>
      <c r="FO20" s="55"/>
      <c r="FP20" s="55"/>
      <c r="FQ20" s="55"/>
      <c r="FR20" s="55"/>
      <c r="FS20" s="55"/>
      <c r="FT20" s="55"/>
      <c r="FU20" s="55"/>
      <c r="FV20" s="55"/>
      <c r="FW20" s="55"/>
      <c r="FX20" s="55"/>
      <c r="FY20" s="55"/>
      <c r="FZ20" s="55"/>
      <c r="GA20" s="55"/>
      <c r="GB20" s="55"/>
      <c r="GC20" s="55"/>
      <c r="GD20" s="55"/>
      <c r="GE20" s="55"/>
      <c r="GF20" s="55"/>
      <c r="GG20" s="55"/>
      <c r="GH20" s="55"/>
      <c r="GI20" s="55"/>
      <c r="GJ20" s="55"/>
      <c r="GK20" s="55"/>
      <c r="GL20" s="55"/>
      <c r="GM20" s="55"/>
      <c r="GN20" s="55"/>
      <c r="GO20" s="55"/>
      <c r="GP20" s="55"/>
      <c r="GQ20" s="55"/>
      <c r="GR20" s="55"/>
      <c r="GS20" s="55"/>
      <c r="GT20" s="55"/>
      <c r="GU20" s="55"/>
      <c r="GV20" s="55"/>
      <c r="GW20" s="55"/>
      <c r="GX20" s="55"/>
      <c r="GY20" s="55"/>
      <c r="GZ20" s="55"/>
      <c r="HA20" s="55"/>
      <c r="HB20" s="5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55"/>
      <c r="JL20" s="55"/>
      <c r="JM20" s="55"/>
      <c r="JN20" s="55"/>
      <c r="JO20" s="55"/>
      <c r="JP20" s="55"/>
      <c r="JQ20" s="55"/>
      <c r="JR20" s="55"/>
      <c r="JS20" s="55"/>
      <c r="JT20" s="55"/>
      <c r="JU20" s="55"/>
      <c r="JV20" s="55"/>
      <c r="JW20" s="55"/>
      <c r="JX20" s="55"/>
      <c r="JY20" s="55"/>
      <c r="JZ20" s="55"/>
      <c r="KA20" s="55"/>
      <c r="KB20" s="55"/>
      <c r="KC20" s="55"/>
      <c r="KD20" s="55"/>
      <c r="KE20" s="55"/>
      <c r="KF20" s="55"/>
      <c r="KG20" s="55"/>
      <c r="KH20" s="55"/>
      <c r="KI20" s="55"/>
      <c r="KJ20" s="55"/>
      <c r="KK20" s="55"/>
      <c r="KL20" s="55"/>
      <c r="KM20" s="55"/>
      <c r="KN20" s="55"/>
      <c r="KO20" s="55"/>
      <c r="KP20" s="55"/>
      <c r="KQ20" s="55"/>
      <c r="KR20" s="55"/>
      <c r="KS20" s="55"/>
      <c r="KT20" s="55"/>
      <c r="KU20" s="55"/>
      <c r="KV20" s="55"/>
      <c r="KW20" s="55"/>
      <c r="KX20" s="55"/>
      <c r="KY20" s="55"/>
      <c r="KZ20" s="55"/>
      <c r="LA20" s="55"/>
      <c r="LB20" s="55"/>
      <c r="LC20" s="55"/>
      <c r="LD20" s="55"/>
      <c r="LE20" s="55"/>
      <c r="LF20" s="55"/>
      <c r="LG20" s="55"/>
      <c r="LH20" s="55"/>
      <c r="LI20" s="55"/>
      <c r="LJ20" s="55"/>
      <c r="LK20" s="55"/>
      <c r="LL20" s="55"/>
      <c r="LM20" s="55"/>
      <c r="LN20" s="55"/>
      <c r="LO20" s="55"/>
      <c r="LP20" s="55"/>
      <c r="LQ20" s="55"/>
      <c r="LR20" s="55"/>
      <c r="LS20" s="55"/>
      <c r="LT20" s="55"/>
      <c r="LU20" s="55"/>
      <c r="LV20" s="55"/>
      <c r="LW20" s="55"/>
      <c r="LX20" s="55"/>
      <c r="LY20" s="55"/>
      <c r="LZ20" s="55"/>
      <c r="MA20" s="55"/>
      <c r="MB20" s="55"/>
      <c r="MC20" s="55"/>
      <c r="MD20" s="55"/>
      <c r="ME20" s="55"/>
      <c r="MF20" s="55"/>
      <c r="MG20" s="55"/>
      <c r="MH20" s="55"/>
      <c r="MI20" s="55"/>
      <c r="MJ20" s="55"/>
      <c r="MK20" s="55"/>
      <c r="ML20" s="55"/>
      <c r="MM20" s="55"/>
      <c r="MN20" s="55"/>
      <c r="MO20" s="55"/>
      <c r="MP20" s="55"/>
      <c r="MQ20" s="55"/>
      <c r="MR20" s="55"/>
      <c r="MS20" s="55"/>
      <c r="MT20" s="55"/>
      <c r="MU20" s="55"/>
      <c r="MV20" s="55"/>
      <c r="MW20" s="55"/>
      <c r="MX20" s="55"/>
      <c r="MY20" s="55"/>
      <c r="MZ20" s="55"/>
      <c r="NA20" s="55"/>
      <c r="NB20" s="55"/>
      <c r="NC20" s="55"/>
      <c r="ND20" s="55"/>
      <c r="NE20" s="55"/>
      <c r="NF20" s="55"/>
      <c r="NG20" s="55"/>
      <c r="NH20" s="55"/>
      <c r="NI20" s="4"/>
      <c r="NJ20" s="4"/>
    </row>
    <row r="21" spans="1:374" ht="20.25" x14ac:dyDescent="0.3">
      <c r="B21" s="73" t="s">
        <v>456</v>
      </c>
      <c r="C21" s="73"/>
      <c r="D21" s="73"/>
      <c r="E21" s="73"/>
      <c r="F21" s="73"/>
    </row>
    <row r="22" spans="1:374" hidden="1" x14ac:dyDescent="0.2">
      <c r="A22" s="37" t="s">
        <v>449</v>
      </c>
      <c r="B22" s="38" t="s">
        <v>35</v>
      </c>
      <c r="C22" s="38" t="s">
        <v>36</v>
      </c>
      <c r="D22" s="38" t="s">
        <v>37</v>
      </c>
      <c r="E22" s="39" t="s">
        <v>0</v>
      </c>
      <c r="F22" s="43" t="s">
        <v>457</v>
      </c>
      <c r="G22" s="11" t="s">
        <v>55</v>
      </c>
      <c r="H22" s="12" t="s">
        <v>56</v>
      </c>
      <c r="I22" s="12" t="s">
        <v>57</v>
      </c>
      <c r="J22" s="12" t="s">
        <v>58</v>
      </c>
      <c r="K22" s="12" t="s">
        <v>59</v>
      </c>
      <c r="L22" s="12" t="s">
        <v>60</v>
      </c>
      <c r="M22" s="12" t="s">
        <v>61</v>
      </c>
      <c r="N22" s="12" t="s">
        <v>62</v>
      </c>
      <c r="O22" s="12" t="s">
        <v>63</v>
      </c>
      <c r="P22" s="12" t="s">
        <v>64</v>
      </c>
      <c r="Q22" s="12" t="s">
        <v>65</v>
      </c>
      <c r="R22" s="12" t="s">
        <v>66</v>
      </c>
      <c r="S22" s="12" t="s">
        <v>67</v>
      </c>
      <c r="T22" s="12" t="s">
        <v>68</v>
      </c>
      <c r="U22" s="12" t="s">
        <v>69</v>
      </c>
      <c r="V22" s="12" t="s">
        <v>70</v>
      </c>
      <c r="W22" s="12" t="s">
        <v>71</v>
      </c>
      <c r="X22" s="12" t="s">
        <v>72</v>
      </c>
      <c r="Y22" s="12" t="s">
        <v>73</v>
      </c>
      <c r="Z22" s="12" t="s">
        <v>74</v>
      </c>
      <c r="AA22" s="12" t="s">
        <v>75</v>
      </c>
      <c r="AB22" s="12" t="s">
        <v>76</v>
      </c>
      <c r="AC22" s="12" t="s">
        <v>77</v>
      </c>
      <c r="AD22" s="12" t="s">
        <v>78</v>
      </c>
      <c r="AE22" s="12" t="s">
        <v>79</v>
      </c>
      <c r="AF22" s="12" t="s">
        <v>80</v>
      </c>
      <c r="AG22" s="12" t="s">
        <v>81</v>
      </c>
      <c r="AH22" s="12" t="s">
        <v>82</v>
      </c>
      <c r="AI22" s="12" t="s">
        <v>83</v>
      </c>
      <c r="AJ22" s="12" t="s">
        <v>84</v>
      </c>
      <c r="AK22" s="12" t="s">
        <v>85</v>
      </c>
      <c r="AL22" s="12" t="s">
        <v>86</v>
      </c>
      <c r="AM22" s="12" t="s">
        <v>87</v>
      </c>
      <c r="AN22" s="12" t="s">
        <v>88</v>
      </c>
      <c r="AO22" s="12" t="s">
        <v>89</v>
      </c>
      <c r="AP22" s="12" t="s">
        <v>90</v>
      </c>
      <c r="AQ22" s="12" t="s">
        <v>91</v>
      </c>
      <c r="AR22" s="12" t="s">
        <v>92</v>
      </c>
      <c r="AS22" s="12" t="s">
        <v>93</v>
      </c>
      <c r="AT22" s="12" t="s">
        <v>94</v>
      </c>
      <c r="AU22" s="12" t="s">
        <v>95</v>
      </c>
      <c r="AV22" s="12" t="s">
        <v>96</v>
      </c>
      <c r="AW22" s="12" t="s">
        <v>97</v>
      </c>
      <c r="AX22" s="12" t="s">
        <v>98</v>
      </c>
      <c r="AY22" s="12" t="s">
        <v>99</v>
      </c>
      <c r="AZ22" s="12" t="s">
        <v>100</v>
      </c>
      <c r="BA22" s="12" t="s">
        <v>101</v>
      </c>
      <c r="BB22" s="12" t="s">
        <v>102</v>
      </c>
      <c r="BC22" s="12" t="s">
        <v>103</v>
      </c>
      <c r="BD22" s="12" t="s">
        <v>104</v>
      </c>
      <c r="BE22" s="12" t="s">
        <v>105</v>
      </c>
      <c r="BF22" s="12" t="s">
        <v>106</v>
      </c>
      <c r="BG22" s="12" t="s">
        <v>107</v>
      </c>
      <c r="BH22" s="12" t="s">
        <v>108</v>
      </c>
      <c r="BI22" s="12" t="s">
        <v>109</v>
      </c>
      <c r="BJ22" s="12" t="s">
        <v>110</v>
      </c>
      <c r="BK22" s="12" t="s">
        <v>111</v>
      </c>
      <c r="BL22" s="12" t="s">
        <v>112</v>
      </c>
      <c r="BM22" s="12" t="s">
        <v>113</v>
      </c>
      <c r="BN22" s="12" t="s">
        <v>114</v>
      </c>
      <c r="BO22" s="12" t="s">
        <v>115</v>
      </c>
      <c r="BP22" s="12" t="s">
        <v>116</v>
      </c>
      <c r="BQ22" s="12" t="s">
        <v>117</v>
      </c>
      <c r="BR22" s="12" t="s">
        <v>118</v>
      </c>
      <c r="BS22" s="12" t="s">
        <v>119</v>
      </c>
      <c r="BT22" s="12" t="s">
        <v>120</v>
      </c>
      <c r="BU22" s="12" t="s">
        <v>121</v>
      </c>
      <c r="BV22" s="12" t="s">
        <v>122</v>
      </c>
      <c r="BW22" s="12" t="s">
        <v>123</v>
      </c>
      <c r="BX22" s="12" t="s">
        <v>124</v>
      </c>
      <c r="BY22" s="12" t="s">
        <v>125</v>
      </c>
      <c r="BZ22" s="12" t="s">
        <v>126</v>
      </c>
      <c r="CA22" s="12" t="s">
        <v>127</v>
      </c>
      <c r="CB22" s="12" t="s">
        <v>128</v>
      </c>
      <c r="CC22" s="12" t="s">
        <v>129</v>
      </c>
      <c r="CD22" s="12" t="s">
        <v>130</v>
      </c>
      <c r="CE22" s="12" t="s">
        <v>131</v>
      </c>
      <c r="CF22" s="12" t="s">
        <v>132</v>
      </c>
      <c r="CG22" s="12" t="s">
        <v>133</v>
      </c>
      <c r="CH22" s="12" t="s">
        <v>134</v>
      </c>
      <c r="CI22" s="12" t="s">
        <v>135</v>
      </c>
      <c r="CJ22" s="12" t="s">
        <v>136</v>
      </c>
      <c r="CK22" s="12" t="s">
        <v>137</v>
      </c>
      <c r="CL22" s="12" t="s">
        <v>138</v>
      </c>
      <c r="CM22" s="12" t="s">
        <v>139</v>
      </c>
      <c r="CN22" s="12" t="s">
        <v>140</v>
      </c>
      <c r="CO22" s="12" t="s">
        <v>141</v>
      </c>
      <c r="CP22" s="12" t="s">
        <v>142</v>
      </c>
      <c r="CQ22" s="12" t="s">
        <v>143</v>
      </c>
      <c r="CR22" s="12" t="s">
        <v>144</v>
      </c>
      <c r="CS22" s="12" t="s">
        <v>145</v>
      </c>
      <c r="CT22" s="12" t="s">
        <v>146</v>
      </c>
      <c r="CU22" s="12" t="s">
        <v>147</v>
      </c>
      <c r="CV22" s="12" t="s">
        <v>148</v>
      </c>
      <c r="CW22" s="12" t="s">
        <v>149</v>
      </c>
      <c r="CX22" s="12" t="s">
        <v>150</v>
      </c>
      <c r="CY22" s="12" t="s">
        <v>151</v>
      </c>
      <c r="CZ22" s="12" t="s">
        <v>152</v>
      </c>
      <c r="DA22" s="12" t="s">
        <v>153</v>
      </c>
      <c r="DB22" s="12" t="s">
        <v>154</v>
      </c>
      <c r="DC22" s="12" t="s">
        <v>155</v>
      </c>
      <c r="DD22" s="12" t="s">
        <v>156</v>
      </c>
      <c r="DE22" s="12" t="s">
        <v>157</v>
      </c>
      <c r="DF22" s="12" t="s">
        <v>158</v>
      </c>
      <c r="DG22" s="12" t="s">
        <v>159</v>
      </c>
      <c r="DH22" s="12" t="s">
        <v>160</v>
      </c>
      <c r="DI22" s="12" t="s">
        <v>161</v>
      </c>
      <c r="DJ22" s="12" t="s">
        <v>162</v>
      </c>
      <c r="DK22" s="12" t="s">
        <v>163</v>
      </c>
      <c r="DL22" s="12" t="s">
        <v>164</v>
      </c>
      <c r="DM22" s="12" t="s">
        <v>165</v>
      </c>
      <c r="DN22" s="12" t="s">
        <v>166</v>
      </c>
      <c r="DO22" s="12" t="s">
        <v>167</v>
      </c>
      <c r="DP22" s="12" t="s">
        <v>168</v>
      </c>
      <c r="DQ22" s="12" t="s">
        <v>169</v>
      </c>
      <c r="DR22" s="12" t="s">
        <v>170</v>
      </c>
      <c r="DS22" s="12" t="s">
        <v>171</v>
      </c>
      <c r="DT22" s="12" t="s">
        <v>172</v>
      </c>
      <c r="DU22" s="12" t="s">
        <v>173</v>
      </c>
      <c r="DV22" s="12" t="s">
        <v>174</v>
      </c>
      <c r="DW22" s="12" t="s">
        <v>175</v>
      </c>
      <c r="DX22" s="12" t="s">
        <v>176</v>
      </c>
      <c r="DY22" s="12" t="s">
        <v>177</v>
      </c>
      <c r="DZ22" s="12" t="s">
        <v>178</v>
      </c>
      <c r="EA22" s="12" t="s">
        <v>179</v>
      </c>
      <c r="EB22" s="12" t="s">
        <v>180</v>
      </c>
      <c r="EC22" s="12" t="s">
        <v>181</v>
      </c>
      <c r="ED22" s="12" t="s">
        <v>182</v>
      </c>
      <c r="EE22" s="12" t="s">
        <v>183</v>
      </c>
      <c r="EF22" s="12" t="s">
        <v>184</v>
      </c>
      <c r="EG22" s="12" t="s">
        <v>185</v>
      </c>
      <c r="EH22" s="12" t="s">
        <v>186</v>
      </c>
      <c r="EI22" s="12" t="s">
        <v>187</v>
      </c>
      <c r="EJ22" s="12" t="s">
        <v>188</v>
      </c>
      <c r="EK22" s="12" t="s">
        <v>189</v>
      </c>
      <c r="EL22" s="12" t="s">
        <v>190</v>
      </c>
      <c r="EM22" s="12" t="s">
        <v>191</v>
      </c>
      <c r="EN22" s="12" t="s">
        <v>192</v>
      </c>
      <c r="EO22" s="12" t="s">
        <v>193</v>
      </c>
      <c r="EP22" s="12" t="s">
        <v>194</v>
      </c>
      <c r="EQ22" s="12" t="s">
        <v>195</v>
      </c>
      <c r="ER22" s="12" t="s">
        <v>196</v>
      </c>
      <c r="ES22" s="12" t="s">
        <v>197</v>
      </c>
      <c r="ET22" s="12" t="s">
        <v>198</v>
      </c>
      <c r="EU22" s="12" t="s">
        <v>199</v>
      </c>
      <c r="EV22" s="12" t="s">
        <v>200</v>
      </c>
      <c r="EW22" s="12" t="s">
        <v>201</v>
      </c>
      <c r="EX22" s="12" t="s">
        <v>202</v>
      </c>
      <c r="EY22" s="12" t="s">
        <v>203</v>
      </c>
      <c r="EZ22" s="12" t="s">
        <v>204</v>
      </c>
      <c r="FA22" s="12" t="s">
        <v>205</v>
      </c>
      <c r="FB22" s="12" t="s">
        <v>206</v>
      </c>
      <c r="FC22" s="12" t="s">
        <v>207</v>
      </c>
      <c r="FD22" s="12" t="s">
        <v>208</v>
      </c>
      <c r="FE22" s="12" t="s">
        <v>209</v>
      </c>
      <c r="FF22" s="12" t="s">
        <v>210</v>
      </c>
      <c r="FG22" s="12" t="s">
        <v>211</v>
      </c>
      <c r="FH22" s="12" t="s">
        <v>212</v>
      </c>
      <c r="FI22" s="12" t="s">
        <v>213</v>
      </c>
      <c r="FJ22" s="12" t="s">
        <v>214</v>
      </c>
      <c r="FK22" s="12" t="s">
        <v>215</v>
      </c>
      <c r="FL22" s="12" t="s">
        <v>216</v>
      </c>
      <c r="FM22" s="12" t="s">
        <v>217</v>
      </c>
      <c r="FN22" s="12" t="s">
        <v>218</v>
      </c>
      <c r="FO22" s="12" t="s">
        <v>219</v>
      </c>
      <c r="FP22" s="12" t="s">
        <v>220</v>
      </c>
      <c r="FQ22" s="12" t="s">
        <v>221</v>
      </c>
      <c r="FR22" s="12" t="s">
        <v>222</v>
      </c>
      <c r="FS22" s="12" t="s">
        <v>223</v>
      </c>
      <c r="FT22" s="12" t="s">
        <v>224</v>
      </c>
      <c r="FU22" s="12" t="s">
        <v>225</v>
      </c>
      <c r="FV22" s="12" t="s">
        <v>226</v>
      </c>
      <c r="FW22" s="12" t="s">
        <v>227</v>
      </c>
      <c r="FX22" s="12" t="s">
        <v>228</v>
      </c>
      <c r="FY22" s="12" t="s">
        <v>229</v>
      </c>
      <c r="FZ22" s="12" t="s">
        <v>230</v>
      </c>
      <c r="GA22" s="12" t="s">
        <v>231</v>
      </c>
      <c r="GB22" s="12" t="s">
        <v>232</v>
      </c>
      <c r="GC22" s="12" t="s">
        <v>233</v>
      </c>
      <c r="GD22" s="12" t="s">
        <v>234</v>
      </c>
      <c r="GE22" s="12" t="s">
        <v>235</v>
      </c>
      <c r="GF22" s="12" t="s">
        <v>236</v>
      </c>
      <c r="GG22" s="12" t="s">
        <v>237</v>
      </c>
      <c r="GH22" s="12" t="s">
        <v>238</v>
      </c>
      <c r="GI22" s="12" t="s">
        <v>239</v>
      </c>
      <c r="GJ22" s="12" t="s">
        <v>240</v>
      </c>
      <c r="GK22" s="12" t="s">
        <v>241</v>
      </c>
      <c r="GL22" s="12" t="s">
        <v>242</v>
      </c>
      <c r="GM22" s="12" t="s">
        <v>243</v>
      </c>
      <c r="GN22" s="12" t="s">
        <v>244</v>
      </c>
      <c r="GO22" s="12" t="s">
        <v>245</v>
      </c>
      <c r="GP22" s="12" t="s">
        <v>246</v>
      </c>
      <c r="GQ22" s="12" t="s">
        <v>247</v>
      </c>
      <c r="GR22" s="12" t="s">
        <v>248</v>
      </c>
      <c r="GS22" s="12" t="s">
        <v>249</v>
      </c>
      <c r="GT22" s="12" t="s">
        <v>250</v>
      </c>
      <c r="GU22" s="12" t="s">
        <v>251</v>
      </c>
      <c r="GV22" s="12" t="s">
        <v>252</v>
      </c>
      <c r="GW22" s="12" t="s">
        <v>253</v>
      </c>
      <c r="GX22" s="12" t="s">
        <v>254</v>
      </c>
      <c r="GY22" s="12" t="s">
        <v>255</v>
      </c>
      <c r="GZ22" s="12" t="s">
        <v>256</v>
      </c>
      <c r="HA22" s="12" t="s">
        <v>257</v>
      </c>
      <c r="HB22" s="12" t="s">
        <v>258</v>
      </c>
      <c r="HC22" s="12" t="s">
        <v>259</v>
      </c>
      <c r="HD22" s="12" t="s">
        <v>260</v>
      </c>
      <c r="HE22" s="12" t="s">
        <v>261</v>
      </c>
      <c r="HF22" s="12" t="s">
        <v>262</v>
      </c>
      <c r="HG22" s="12" t="s">
        <v>263</v>
      </c>
      <c r="HH22" s="12" t="s">
        <v>264</v>
      </c>
      <c r="HI22" s="12" t="s">
        <v>265</v>
      </c>
      <c r="HJ22" s="12" t="s">
        <v>266</v>
      </c>
      <c r="HK22" s="12" t="s">
        <v>267</v>
      </c>
      <c r="HL22" s="12" t="s">
        <v>268</v>
      </c>
      <c r="HM22" s="12" t="s">
        <v>269</v>
      </c>
      <c r="HN22" s="12" t="s">
        <v>270</v>
      </c>
      <c r="HO22" s="12" t="s">
        <v>271</v>
      </c>
      <c r="HP22" s="12" t="s">
        <v>272</v>
      </c>
      <c r="HQ22" s="12" t="s">
        <v>273</v>
      </c>
      <c r="HR22" s="12" t="s">
        <v>274</v>
      </c>
      <c r="HS22" s="12" t="s">
        <v>275</v>
      </c>
      <c r="HT22" s="12" t="s">
        <v>276</v>
      </c>
      <c r="HU22" s="12" t="s">
        <v>277</v>
      </c>
      <c r="HV22" s="12" t="s">
        <v>278</v>
      </c>
      <c r="HW22" s="12" t="s">
        <v>279</v>
      </c>
      <c r="HX22" s="12" t="s">
        <v>280</v>
      </c>
      <c r="HY22" s="12" t="s">
        <v>281</v>
      </c>
      <c r="HZ22" s="12" t="s">
        <v>282</v>
      </c>
      <c r="IA22" s="12" t="s">
        <v>283</v>
      </c>
      <c r="IB22" s="12" t="s">
        <v>284</v>
      </c>
      <c r="IC22" s="12" t="s">
        <v>285</v>
      </c>
      <c r="ID22" s="12" t="s">
        <v>286</v>
      </c>
      <c r="IE22" s="12" t="s">
        <v>287</v>
      </c>
      <c r="IF22" s="12" t="s">
        <v>288</v>
      </c>
      <c r="IG22" s="12" t="s">
        <v>289</v>
      </c>
      <c r="IH22" s="12" t="s">
        <v>290</v>
      </c>
      <c r="II22" s="12" t="s">
        <v>291</v>
      </c>
      <c r="IJ22" s="12" t="s">
        <v>292</v>
      </c>
      <c r="IK22" s="12" t="s">
        <v>293</v>
      </c>
      <c r="IL22" s="12" t="s">
        <v>294</v>
      </c>
      <c r="IM22" s="12" t="s">
        <v>295</v>
      </c>
      <c r="IN22" s="12" t="s">
        <v>296</v>
      </c>
      <c r="IO22" s="12" t="s">
        <v>297</v>
      </c>
      <c r="IP22" s="12" t="s">
        <v>298</v>
      </c>
      <c r="IQ22" s="12" t="s">
        <v>299</v>
      </c>
      <c r="IR22" s="12" t="s">
        <v>300</v>
      </c>
      <c r="IS22" s="12" t="s">
        <v>301</v>
      </c>
      <c r="IT22" s="12" t="s">
        <v>302</v>
      </c>
      <c r="IU22" s="12" t="s">
        <v>303</v>
      </c>
      <c r="IV22" s="12" t="s">
        <v>304</v>
      </c>
      <c r="IW22" s="12" t="s">
        <v>305</v>
      </c>
      <c r="IX22" s="12" t="s">
        <v>306</v>
      </c>
      <c r="IY22" s="12" t="s">
        <v>307</v>
      </c>
      <c r="IZ22" s="12" t="s">
        <v>308</v>
      </c>
      <c r="JA22" s="12" t="s">
        <v>309</v>
      </c>
      <c r="JB22" s="12" t="s">
        <v>310</v>
      </c>
      <c r="JC22" s="12" t="s">
        <v>311</v>
      </c>
      <c r="JD22" s="12" t="s">
        <v>312</v>
      </c>
      <c r="JE22" s="12" t="s">
        <v>313</v>
      </c>
      <c r="JF22" s="12" t="s">
        <v>314</v>
      </c>
      <c r="JG22" s="12" t="s">
        <v>315</v>
      </c>
      <c r="JH22" s="12" t="s">
        <v>316</v>
      </c>
      <c r="JI22" s="12" t="s">
        <v>317</v>
      </c>
      <c r="JJ22" s="12" t="s">
        <v>318</v>
      </c>
      <c r="JK22" s="12" t="s">
        <v>319</v>
      </c>
      <c r="JL22" s="12" t="s">
        <v>320</v>
      </c>
      <c r="JM22" s="12" t="s">
        <v>321</v>
      </c>
      <c r="JN22" s="12" t="s">
        <v>322</v>
      </c>
      <c r="JO22" s="12" t="s">
        <v>323</v>
      </c>
      <c r="JP22" s="12" t="s">
        <v>324</v>
      </c>
      <c r="JQ22" s="12" t="s">
        <v>325</v>
      </c>
      <c r="JR22" s="12" t="s">
        <v>326</v>
      </c>
      <c r="JS22" s="12" t="s">
        <v>327</v>
      </c>
      <c r="JT22" s="12" t="s">
        <v>328</v>
      </c>
      <c r="JU22" s="12" t="s">
        <v>329</v>
      </c>
      <c r="JV22" s="12" t="s">
        <v>330</v>
      </c>
      <c r="JW22" s="12" t="s">
        <v>331</v>
      </c>
      <c r="JX22" s="12" t="s">
        <v>332</v>
      </c>
      <c r="JY22" s="12" t="s">
        <v>333</v>
      </c>
      <c r="JZ22" s="12" t="s">
        <v>334</v>
      </c>
      <c r="KA22" s="12" t="s">
        <v>335</v>
      </c>
      <c r="KB22" s="12" t="s">
        <v>336</v>
      </c>
      <c r="KC22" s="12" t="s">
        <v>337</v>
      </c>
      <c r="KD22" s="12" t="s">
        <v>338</v>
      </c>
      <c r="KE22" s="12" t="s">
        <v>339</v>
      </c>
      <c r="KF22" s="12" t="s">
        <v>340</v>
      </c>
      <c r="KG22" s="12" t="s">
        <v>341</v>
      </c>
      <c r="KH22" s="12" t="s">
        <v>342</v>
      </c>
      <c r="KI22" s="12" t="s">
        <v>343</v>
      </c>
      <c r="KJ22" s="12" t="s">
        <v>344</v>
      </c>
      <c r="KK22" s="12" t="s">
        <v>345</v>
      </c>
      <c r="KL22" s="12" t="s">
        <v>346</v>
      </c>
      <c r="KM22" s="12" t="s">
        <v>347</v>
      </c>
      <c r="KN22" s="12" t="s">
        <v>348</v>
      </c>
      <c r="KO22" s="12" t="s">
        <v>349</v>
      </c>
      <c r="KP22" s="12" t="s">
        <v>350</v>
      </c>
      <c r="KQ22" s="12" t="s">
        <v>351</v>
      </c>
      <c r="KR22" s="12" t="s">
        <v>352</v>
      </c>
      <c r="KS22" s="12" t="s">
        <v>353</v>
      </c>
      <c r="KT22" s="12" t="s">
        <v>354</v>
      </c>
      <c r="KU22" s="12" t="s">
        <v>355</v>
      </c>
      <c r="KV22" s="12" t="s">
        <v>356</v>
      </c>
      <c r="KW22" s="12" t="s">
        <v>357</v>
      </c>
      <c r="KX22" s="12" t="s">
        <v>358</v>
      </c>
      <c r="KY22" s="12" t="s">
        <v>359</v>
      </c>
      <c r="KZ22" s="12" t="s">
        <v>360</v>
      </c>
      <c r="LA22" s="12" t="s">
        <v>361</v>
      </c>
      <c r="LB22" s="12" t="s">
        <v>362</v>
      </c>
      <c r="LC22" s="12" t="s">
        <v>363</v>
      </c>
      <c r="LD22" s="12" t="s">
        <v>364</v>
      </c>
      <c r="LE22" s="12" t="s">
        <v>365</v>
      </c>
      <c r="LF22" s="12" t="s">
        <v>366</v>
      </c>
      <c r="LG22" s="12" t="s">
        <v>367</v>
      </c>
      <c r="LH22" s="12" t="s">
        <v>368</v>
      </c>
      <c r="LI22" s="12" t="s">
        <v>369</v>
      </c>
      <c r="LJ22" s="12" t="s">
        <v>370</v>
      </c>
      <c r="LK22" s="12" t="s">
        <v>371</v>
      </c>
      <c r="LL22" s="12" t="s">
        <v>372</v>
      </c>
      <c r="LM22" s="12" t="s">
        <v>373</v>
      </c>
      <c r="LN22" s="12" t="s">
        <v>374</v>
      </c>
      <c r="LO22" s="12" t="s">
        <v>375</v>
      </c>
      <c r="LP22" s="12" t="s">
        <v>376</v>
      </c>
      <c r="LQ22" s="12" t="s">
        <v>377</v>
      </c>
      <c r="LR22" s="12" t="s">
        <v>378</v>
      </c>
      <c r="LS22" s="12" t="s">
        <v>379</v>
      </c>
      <c r="LT22" s="12" t="s">
        <v>380</v>
      </c>
      <c r="LU22" s="12" t="s">
        <v>381</v>
      </c>
      <c r="LV22" s="12" t="s">
        <v>382</v>
      </c>
      <c r="LW22" s="12" t="s">
        <v>383</v>
      </c>
      <c r="LX22" s="12" t="s">
        <v>384</v>
      </c>
      <c r="LY22" s="12" t="s">
        <v>385</v>
      </c>
      <c r="LZ22" s="12" t="s">
        <v>386</v>
      </c>
      <c r="MA22" s="12" t="s">
        <v>387</v>
      </c>
      <c r="MB22" s="12" t="s">
        <v>388</v>
      </c>
      <c r="MC22" s="12" t="s">
        <v>389</v>
      </c>
      <c r="MD22" s="12" t="s">
        <v>390</v>
      </c>
      <c r="ME22" s="12" t="s">
        <v>391</v>
      </c>
      <c r="MF22" s="12" t="s">
        <v>392</v>
      </c>
      <c r="MG22" s="12" t="s">
        <v>393</v>
      </c>
      <c r="MH22" s="12" t="s">
        <v>394</v>
      </c>
      <c r="MI22" s="12" t="s">
        <v>395</v>
      </c>
      <c r="MJ22" s="12" t="s">
        <v>396</v>
      </c>
      <c r="MK22" s="12" t="s">
        <v>397</v>
      </c>
      <c r="ML22" s="12" t="s">
        <v>398</v>
      </c>
      <c r="MM22" s="12" t="s">
        <v>399</v>
      </c>
      <c r="MN22" s="12" t="s">
        <v>400</v>
      </c>
      <c r="MO22" s="12" t="s">
        <v>401</v>
      </c>
      <c r="MP22" s="12" t="s">
        <v>402</v>
      </c>
      <c r="MQ22" s="12" t="s">
        <v>403</v>
      </c>
      <c r="MR22" s="12" t="s">
        <v>404</v>
      </c>
      <c r="MS22" s="12" t="s">
        <v>405</v>
      </c>
      <c r="MT22" s="12" t="s">
        <v>406</v>
      </c>
      <c r="MU22" s="12" t="s">
        <v>407</v>
      </c>
      <c r="MV22" s="12" t="s">
        <v>408</v>
      </c>
      <c r="MW22" s="12" t="s">
        <v>409</v>
      </c>
      <c r="MX22" s="12" t="s">
        <v>410</v>
      </c>
      <c r="MY22" s="12" t="s">
        <v>411</v>
      </c>
      <c r="MZ22" s="12" t="s">
        <v>412</v>
      </c>
      <c r="NA22" s="12" t="s">
        <v>413</v>
      </c>
      <c r="NB22" s="12" t="s">
        <v>414</v>
      </c>
      <c r="NC22" s="12" t="s">
        <v>415</v>
      </c>
      <c r="ND22" s="12" t="s">
        <v>416</v>
      </c>
      <c r="NE22" s="12" t="s">
        <v>450</v>
      </c>
      <c r="NF22" s="12" t="s">
        <v>451</v>
      </c>
      <c r="NG22" s="12" t="s">
        <v>452</v>
      </c>
      <c r="NH22" s="12" t="s">
        <v>453</v>
      </c>
      <c r="NI22" s="3" t="s">
        <v>454</v>
      </c>
      <c r="NJ22" s="3" t="s">
        <v>455</v>
      </c>
    </row>
    <row r="23" spans="1:374" hidden="1" x14ac:dyDescent="0.2">
      <c r="A23" s="47"/>
      <c r="B23" s="40"/>
      <c r="C23" s="40"/>
      <c r="D23" s="40"/>
      <c r="E23" s="45"/>
      <c r="F23" s="46">
        <f>Tabelle14[[#This Row],[U]]-COUNTIF(Tabelle14[[#This Row],[Spalte7]:[Spalte368]],"U")</f>
        <v>0</v>
      </c>
      <c r="G23" s="49"/>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50"/>
      <c r="DF23" s="50"/>
      <c r="DG23" s="50"/>
      <c r="DH23" s="50"/>
      <c r="DI23" s="50"/>
      <c r="DJ23" s="50"/>
      <c r="DK23" s="50"/>
      <c r="DL23" s="50"/>
      <c r="DM23" s="50"/>
      <c r="DN23" s="50"/>
      <c r="DO23" s="50"/>
      <c r="DP23" s="50"/>
      <c r="DQ23" s="50"/>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0"/>
      <c r="EQ23" s="50"/>
      <c r="ER23" s="50"/>
      <c r="ES23" s="50"/>
      <c r="ET23" s="50"/>
      <c r="EU23" s="50"/>
      <c r="EV23" s="50"/>
      <c r="EW23" s="50"/>
      <c r="EX23" s="50"/>
      <c r="EY23" s="50"/>
      <c r="EZ23" s="50"/>
      <c r="FA23" s="50"/>
      <c r="FB23" s="50"/>
      <c r="FC23" s="50"/>
      <c r="FD23" s="50"/>
      <c r="FE23" s="50"/>
      <c r="FF23" s="50"/>
      <c r="FG23" s="50"/>
      <c r="FH23" s="50"/>
      <c r="FI23" s="50"/>
      <c r="FJ23" s="50"/>
      <c r="FK23" s="50"/>
      <c r="FL23" s="50"/>
      <c r="FM23" s="50"/>
      <c r="FN23" s="50"/>
      <c r="FO23" s="50"/>
      <c r="FP23" s="50"/>
      <c r="FQ23" s="50"/>
      <c r="FR23" s="50"/>
      <c r="FS23" s="50"/>
      <c r="FT23" s="50"/>
      <c r="FU23" s="50"/>
      <c r="FV23" s="50"/>
      <c r="FW23" s="50"/>
      <c r="FX23" s="50"/>
      <c r="FY23" s="50"/>
      <c r="FZ23" s="50"/>
      <c r="GA23" s="50"/>
      <c r="GB23" s="50"/>
      <c r="GC23" s="50"/>
      <c r="GD23" s="50"/>
      <c r="GE23" s="50"/>
      <c r="GF23" s="50"/>
      <c r="GG23" s="50"/>
      <c r="GH23" s="50"/>
      <c r="GI23" s="50"/>
      <c r="GJ23" s="50"/>
      <c r="GK23" s="50"/>
      <c r="GL23" s="50"/>
      <c r="GM23" s="50"/>
      <c r="GN23" s="50"/>
      <c r="GO23" s="50"/>
      <c r="GP23" s="50"/>
      <c r="GQ23" s="50"/>
      <c r="GR23" s="50"/>
      <c r="GS23" s="50"/>
      <c r="GT23" s="50"/>
      <c r="GU23" s="50"/>
      <c r="GV23" s="50"/>
      <c r="GW23" s="50"/>
      <c r="GX23" s="50"/>
      <c r="GY23" s="50"/>
      <c r="GZ23" s="50"/>
      <c r="HA23" s="50"/>
      <c r="HB23" s="50"/>
      <c r="HC23" s="50"/>
      <c r="HD23" s="50"/>
      <c r="HE23" s="50"/>
      <c r="HF23" s="50"/>
      <c r="HG23" s="50"/>
      <c r="HH23" s="50"/>
      <c r="HI23" s="50"/>
      <c r="HJ23" s="50"/>
      <c r="HK23" s="50"/>
      <c r="HL23" s="50"/>
      <c r="HM23" s="50"/>
      <c r="HN23" s="50"/>
      <c r="HO23" s="50"/>
      <c r="HP23" s="50"/>
      <c r="HQ23" s="50"/>
      <c r="HR23" s="50"/>
      <c r="HS23" s="50"/>
      <c r="HT23" s="50"/>
      <c r="HU23" s="50"/>
      <c r="HV23" s="50"/>
      <c r="HW23" s="50"/>
      <c r="HX23" s="50"/>
      <c r="HY23" s="50"/>
      <c r="HZ23" s="50"/>
      <c r="IA23" s="50"/>
      <c r="IB23" s="50"/>
      <c r="IC23" s="50"/>
      <c r="ID23" s="50"/>
      <c r="IE23" s="50"/>
      <c r="IF23" s="50"/>
      <c r="IG23" s="50"/>
      <c r="IH23" s="50"/>
      <c r="II23" s="50"/>
      <c r="IJ23" s="50"/>
      <c r="IK23" s="50"/>
      <c r="IL23" s="50"/>
      <c r="IM23" s="50"/>
      <c r="IN23" s="50"/>
      <c r="IO23" s="50"/>
      <c r="IP23" s="50"/>
      <c r="IQ23" s="50"/>
      <c r="IR23" s="50"/>
      <c r="IS23" s="50"/>
      <c r="IT23" s="50"/>
      <c r="IU23" s="50"/>
      <c r="IV23" s="50"/>
      <c r="IW23" s="50"/>
      <c r="IX23" s="50"/>
      <c r="IY23" s="50"/>
      <c r="IZ23" s="50"/>
      <c r="JA23" s="50"/>
      <c r="JB23" s="50"/>
      <c r="JC23" s="50"/>
      <c r="JD23" s="50"/>
      <c r="JE23" s="50"/>
      <c r="JF23" s="50"/>
      <c r="JG23" s="50"/>
      <c r="JH23" s="50"/>
      <c r="JI23" s="50"/>
      <c r="JJ23" s="50"/>
      <c r="JK23" s="50"/>
      <c r="JL23" s="50"/>
      <c r="JM23" s="50"/>
      <c r="JN23" s="50"/>
      <c r="JO23" s="50"/>
      <c r="JP23" s="50"/>
      <c r="JQ23" s="50"/>
      <c r="JR23" s="50"/>
      <c r="JS23" s="50"/>
      <c r="JT23" s="50"/>
      <c r="JU23" s="50"/>
      <c r="JV23" s="50"/>
      <c r="JW23" s="50"/>
      <c r="JX23" s="50"/>
      <c r="JY23" s="50"/>
      <c r="JZ23" s="50"/>
      <c r="KA23" s="50"/>
      <c r="KB23" s="50"/>
      <c r="KC23" s="50"/>
      <c r="KD23" s="50"/>
      <c r="KE23" s="50"/>
      <c r="KF23" s="50"/>
      <c r="KG23" s="50"/>
      <c r="KH23" s="50"/>
      <c r="KI23" s="50"/>
      <c r="KJ23" s="50"/>
      <c r="KK23" s="50"/>
      <c r="KL23" s="50"/>
      <c r="KM23" s="50"/>
      <c r="KN23" s="50"/>
      <c r="KO23" s="50"/>
      <c r="KP23" s="50"/>
      <c r="KQ23" s="50"/>
      <c r="KR23" s="50"/>
      <c r="KS23" s="50"/>
      <c r="KT23" s="50"/>
      <c r="KU23" s="50"/>
      <c r="KV23" s="50"/>
      <c r="KW23" s="50"/>
      <c r="KX23" s="50"/>
      <c r="KY23" s="50"/>
      <c r="KZ23" s="50"/>
      <c r="LA23" s="50"/>
      <c r="LB23" s="50"/>
      <c r="LC23" s="50"/>
      <c r="LD23" s="50"/>
      <c r="LE23" s="50"/>
      <c r="LF23" s="50"/>
      <c r="LG23" s="50"/>
      <c r="LH23" s="50"/>
      <c r="LI23" s="50"/>
      <c r="LJ23" s="50"/>
      <c r="LK23" s="50"/>
      <c r="LL23" s="50"/>
      <c r="LM23" s="50"/>
      <c r="LN23" s="50"/>
      <c r="LO23" s="50"/>
      <c r="LP23" s="50"/>
      <c r="LQ23" s="50"/>
      <c r="LR23" s="50"/>
      <c r="LS23" s="50"/>
      <c r="LT23" s="50"/>
      <c r="LU23" s="50"/>
      <c r="LV23" s="50"/>
      <c r="LW23" s="50"/>
      <c r="LX23" s="50"/>
      <c r="LY23" s="50"/>
      <c r="LZ23" s="50"/>
      <c r="MA23" s="50"/>
      <c r="MB23" s="50"/>
      <c r="MC23" s="50"/>
      <c r="MD23" s="50"/>
      <c r="ME23" s="50"/>
      <c r="MF23" s="50"/>
      <c r="MG23" s="50"/>
      <c r="MH23" s="50"/>
      <c r="MI23" s="50"/>
      <c r="MJ23" s="50"/>
      <c r="MK23" s="50"/>
      <c r="ML23" s="50"/>
      <c r="MM23" s="50"/>
      <c r="MN23" s="50"/>
      <c r="MO23" s="50"/>
      <c r="MP23" s="50"/>
      <c r="MQ23" s="50"/>
      <c r="MR23" s="50"/>
      <c r="MS23" s="50"/>
      <c r="MT23" s="50"/>
      <c r="MU23" s="50"/>
      <c r="MV23" s="50"/>
      <c r="MW23" s="50"/>
      <c r="MX23" s="50"/>
      <c r="MY23" s="50"/>
      <c r="MZ23" s="50"/>
      <c r="NA23" s="50"/>
      <c r="NB23" s="50"/>
      <c r="NC23" s="50"/>
      <c r="ND23" s="50"/>
      <c r="NE23" s="50"/>
      <c r="NF23" s="50"/>
      <c r="NG23" s="50"/>
      <c r="NH23" s="50"/>
      <c r="NI23" s="47"/>
      <c r="NJ23" s="47"/>
    </row>
    <row r="24" spans="1:374" hidden="1" x14ac:dyDescent="0.2">
      <c r="A24" s="47"/>
      <c r="B24" s="40"/>
      <c r="C24" s="40"/>
      <c r="D24" s="40"/>
      <c r="E24" s="45"/>
      <c r="F24" s="46">
        <f>Tabelle14[[#This Row],[U]]-COUNTIF(Tabelle14[[#This Row],[Spalte7]:[Spalte368]],"U")</f>
        <v>0</v>
      </c>
      <c r="G24" s="49"/>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50"/>
      <c r="DF24" s="50"/>
      <c r="DG24" s="50"/>
      <c r="DH24" s="50"/>
      <c r="DI24" s="50"/>
      <c r="DJ24" s="50"/>
      <c r="DK24" s="50"/>
      <c r="DL24" s="50"/>
      <c r="DM24" s="50"/>
      <c r="DN24" s="50"/>
      <c r="DO24" s="50"/>
      <c r="DP24" s="50"/>
      <c r="DQ24" s="50"/>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50"/>
      <c r="FA24" s="50"/>
      <c r="FB24" s="50"/>
      <c r="FC24" s="50"/>
      <c r="FD24" s="50"/>
      <c r="FE24" s="50"/>
      <c r="FF24" s="50"/>
      <c r="FG24" s="50"/>
      <c r="FH24" s="50"/>
      <c r="FI24" s="50"/>
      <c r="FJ24" s="50"/>
      <c r="FK24" s="50"/>
      <c r="FL24" s="50"/>
      <c r="FM24" s="50"/>
      <c r="FN24" s="50"/>
      <c r="FO24" s="50"/>
      <c r="FP24" s="50"/>
      <c r="FQ24" s="50"/>
      <c r="FR24" s="50"/>
      <c r="FS24" s="50"/>
      <c r="FT24" s="50"/>
      <c r="FU24" s="50"/>
      <c r="FV24" s="50"/>
      <c r="FW24" s="50"/>
      <c r="FX24" s="50"/>
      <c r="FY24" s="50"/>
      <c r="FZ24" s="50"/>
      <c r="GA24" s="50"/>
      <c r="GB24" s="50"/>
      <c r="GC24" s="50"/>
      <c r="GD24" s="50"/>
      <c r="GE24" s="50"/>
      <c r="GF24" s="50"/>
      <c r="GG24" s="50"/>
      <c r="GH24" s="50"/>
      <c r="GI24" s="50"/>
      <c r="GJ24" s="50"/>
      <c r="GK24" s="50"/>
      <c r="GL24" s="50"/>
      <c r="GM24" s="50"/>
      <c r="GN24" s="50"/>
      <c r="GO24" s="50"/>
      <c r="GP24" s="50"/>
      <c r="GQ24" s="50"/>
      <c r="GR24" s="50"/>
      <c r="GS24" s="50"/>
      <c r="GT24" s="50"/>
      <c r="GU24" s="50"/>
      <c r="GV24" s="50"/>
      <c r="GW24" s="50"/>
      <c r="GX24" s="50"/>
      <c r="GY24" s="50"/>
      <c r="GZ24" s="50"/>
      <c r="HA24" s="50"/>
      <c r="HB24" s="50"/>
      <c r="HC24" s="50"/>
      <c r="HD24" s="50"/>
      <c r="HE24" s="50"/>
      <c r="HF24" s="50"/>
      <c r="HG24" s="50"/>
      <c r="HH24" s="50"/>
      <c r="HI24" s="50"/>
      <c r="HJ24" s="50"/>
      <c r="HK24" s="50"/>
      <c r="HL24" s="50"/>
      <c r="HM24" s="50"/>
      <c r="HN24" s="50"/>
      <c r="HO24" s="50"/>
      <c r="HP24" s="50"/>
      <c r="HQ24" s="50"/>
      <c r="HR24" s="50"/>
      <c r="HS24" s="50"/>
      <c r="HT24" s="50"/>
      <c r="HU24" s="50"/>
      <c r="HV24" s="50"/>
      <c r="HW24" s="50"/>
      <c r="HX24" s="50"/>
      <c r="HY24" s="50"/>
      <c r="HZ24" s="50"/>
      <c r="IA24" s="50"/>
      <c r="IB24" s="50"/>
      <c r="IC24" s="50"/>
      <c r="ID24" s="50"/>
      <c r="IE24" s="50"/>
      <c r="IF24" s="50"/>
      <c r="IG24" s="50"/>
      <c r="IH24" s="50"/>
      <c r="II24" s="50"/>
      <c r="IJ24" s="50"/>
      <c r="IK24" s="50"/>
      <c r="IL24" s="50"/>
      <c r="IM24" s="50"/>
      <c r="IN24" s="50"/>
      <c r="IO24" s="50"/>
      <c r="IP24" s="50"/>
      <c r="IQ24" s="50"/>
      <c r="IR24" s="50"/>
      <c r="IS24" s="50"/>
      <c r="IT24" s="50"/>
      <c r="IU24" s="50"/>
      <c r="IV24" s="50"/>
      <c r="IW24" s="50"/>
      <c r="IX24" s="50"/>
      <c r="IY24" s="50"/>
      <c r="IZ24" s="50"/>
      <c r="JA24" s="50"/>
      <c r="JB24" s="50"/>
      <c r="JC24" s="50"/>
      <c r="JD24" s="50"/>
      <c r="JE24" s="50"/>
      <c r="JF24" s="50"/>
      <c r="JG24" s="50"/>
      <c r="JH24" s="50"/>
      <c r="JI24" s="50"/>
      <c r="JJ24" s="50"/>
      <c r="JK24" s="50"/>
      <c r="JL24" s="50"/>
      <c r="JM24" s="50"/>
      <c r="JN24" s="50"/>
      <c r="JO24" s="50"/>
      <c r="JP24" s="50"/>
      <c r="JQ24" s="50"/>
      <c r="JR24" s="50"/>
      <c r="JS24" s="50"/>
      <c r="JT24" s="50"/>
      <c r="JU24" s="50"/>
      <c r="JV24" s="50"/>
      <c r="JW24" s="50"/>
      <c r="JX24" s="50"/>
      <c r="JY24" s="50"/>
      <c r="JZ24" s="50"/>
      <c r="KA24" s="50"/>
      <c r="KB24" s="50"/>
      <c r="KC24" s="50"/>
      <c r="KD24" s="50"/>
      <c r="KE24" s="50"/>
      <c r="KF24" s="50"/>
      <c r="KG24" s="50"/>
      <c r="KH24" s="50"/>
      <c r="KI24" s="50"/>
      <c r="KJ24" s="50"/>
      <c r="KK24" s="50"/>
      <c r="KL24" s="50"/>
      <c r="KM24" s="50"/>
      <c r="KN24" s="50"/>
      <c r="KO24" s="50"/>
      <c r="KP24" s="50"/>
      <c r="KQ24" s="50"/>
      <c r="KR24" s="50"/>
      <c r="KS24" s="50"/>
      <c r="KT24" s="50"/>
      <c r="KU24" s="50"/>
      <c r="KV24" s="50"/>
      <c r="KW24" s="50"/>
      <c r="KX24" s="50"/>
      <c r="KY24" s="50"/>
      <c r="KZ24" s="50"/>
      <c r="LA24" s="50"/>
      <c r="LB24" s="50"/>
      <c r="LC24" s="50"/>
      <c r="LD24" s="50"/>
      <c r="LE24" s="50"/>
      <c r="LF24" s="50"/>
      <c r="LG24" s="50"/>
      <c r="LH24" s="50"/>
      <c r="LI24" s="50"/>
      <c r="LJ24" s="50"/>
      <c r="LK24" s="50"/>
      <c r="LL24" s="50"/>
      <c r="LM24" s="50"/>
      <c r="LN24" s="50"/>
      <c r="LO24" s="50"/>
      <c r="LP24" s="50"/>
      <c r="LQ24" s="50"/>
      <c r="LR24" s="50"/>
      <c r="LS24" s="50"/>
      <c r="LT24" s="50"/>
      <c r="LU24" s="50"/>
      <c r="LV24" s="50"/>
      <c r="LW24" s="50"/>
      <c r="LX24" s="50"/>
      <c r="LY24" s="50"/>
      <c r="LZ24" s="50"/>
      <c r="MA24" s="50"/>
      <c r="MB24" s="50"/>
      <c r="MC24" s="50"/>
      <c r="MD24" s="50"/>
      <c r="ME24" s="50"/>
      <c r="MF24" s="50"/>
      <c r="MG24" s="50"/>
      <c r="MH24" s="50"/>
      <c r="MI24" s="50"/>
      <c r="MJ24" s="50"/>
      <c r="MK24" s="50"/>
      <c r="ML24" s="50"/>
      <c r="MM24" s="50"/>
      <c r="MN24" s="50"/>
      <c r="MO24" s="50"/>
      <c r="MP24" s="50"/>
      <c r="MQ24" s="50"/>
      <c r="MR24" s="50"/>
      <c r="MS24" s="50"/>
      <c r="MT24" s="50"/>
      <c r="MU24" s="50"/>
      <c r="MV24" s="50"/>
      <c r="MW24" s="50"/>
      <c r="MX24" s="50"/>
      <c r="MY24" s="50"/>
      <c r="MZ24" s="50"/>
      <c r="NA24" s="50"/>
      <c r="NB24" s="50"/>
      <c r="NC24" s="50"/>
      <c r="ND24" s="50"/>
      <c r="NE24" s="50"/>
      <c r="NF24" s="50"/>
      <c r="NG24" s="50"/>
      <c r="NH24" s="50"/>
      <c r="NI24" s="47"/>
      <c r="NJ24" s="47"/>
    </row>
    <row r="25" spans="1:374" x14ac:dyDescent="0.2">
      <c r="A25" s="47"/>
      <c r="B25" s="40"/>
      <c r="C25" s="40"/>
      <c r="D25" s="40"/>
      <c r="E25" s="45"/>
      <c r="F25" s="48"/>
      <c r="G25" s="49"/>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50"/>
      <c r="DF25" s="50"/>
      <c r="DG25" s="50"/>
      <c r="DH25" s="50"/>
      <c r="DI25" s="50"/>
      <c r="DJ25" s="50"/>
      <c r="DK25" s="50"/>
      <c r="DL25" s="50"/>
      <c r="DM25" s="50"/>
      <c r="DN25" s="50"/>
      <c r="DO25" s="50"/>
      <c r="DP25" s="50"/>
      <c r="DQ25" s="50"/>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0"/>
      <c r="EQ25" s="50"/>
      <c r="ER25" s="50"/>
      <c r="ES25" s="50"/>
      <c r="ET25" s="50"/>
      <c r="EU25" s="50"/>
      <c r="EV25" s="50"/>
      <c r="EW25" s="50"/>
      <c r="EX25" s="50"/>
      <c r="EY25" s="50"/>
      <c r="EZ25" s="50"/>
      <c r="FA25" s="50"/>
      <c r="FB25" s="50"/>
      <c r="FC25" s="50"/>
      <c r="FD25" s="50"/>
      <c r="FE25" s="50"/>
      <c r="FF25" s="50"/>
      <c r="FG25" s="50"/>
      <c r="FH25" s="50"/>
      <c r="FI25" s="50"/>
      <c r="FJ25" s="50"/>
      <c r="FK25" s="50"/>
      <c r="FL25" s="50"/>
      <c r="FM25" s="50"/>
      <c r="FN25" s="50"/>
      <c r="FO25" s="50"/>
      <c r="FP25" s="50"/>
      <c r="FQ25" s="50"/>
      <c r="FR25" s="50"/>
      <c r="FS25" s="50"/>
      <c r="FT25" s="50"/>
      <c r="FU25" s="50"/>
      <c r="FV25" s="50"/>
      <c r="FW25" s="50"/>
      <c r="FX25" s="50"/>
      <c r="FY25" s="50"/>
      <c r="FZ25" s="50"/>
      <c r="GA25" s="50"/>
      <c r="GB25" s="50"/>
      <c r="GC25" s="50"/>
      <c r="GD25" s="50"/>
      <c r="GE25" s="50"/>
      <c r="GF25" s="50"/>
      <c r="GG25" s="50"/>
      <c r="GH25" s="50"/>
      <c r="GI25" s="50"/>
      <c r="GJ25" s="50"/>
      <c r="GK25" s="50"/>
      <c r="GL25" s="50"/>
      <c r="GM25" s="50"/>
      <c r="GN25" s="50"/>
      <c r="GO25" s="50"/>
      <c r="GP25" s="50"/>
      <c r="GQ25" s="50"/>
      <c r="GR25" s="50"/>
      <c r="GS25" s="50"/>
      <c r="GT25" s="50"/>
      <c r="GU25" s="50"/>
      <c r="GV25" s="50"/>
      <c r="GW25" s="50"/>
      <c r="GX25" s="50"/>
      <c r="GY25" s="50"/>
      <c r="GZ25" s="50"/>
      <c r="HA25" s="50"/>
      <c r="HB25" s="50"/>
      <c r="HC25" s="50"/>
      <c r="HD25" s="50"/>
      <c r="HE25" s="50"/>
      <c r="HF25" s="50"/>
      <c r="HG25" s="50"/>
      <c r="HH25" s="50"/>
      <c r="HI25" s="50"/>
      <c r="HJ25" s="50"/>
      <c r="HK25" s="50"/>
      <c r="HL25" s="50"/>
      <c r="HM25" s="50"/>
      <c r="HN25" s="50"/>
      <c r="HO25" s="50"/>
      <c r="HP25" s="50"/>
      <c r="HQ25" s="50"/>
      <c r="HR25" s="50"/>
      <c r="HS25" s="50"/>
      <c r="HT25" s="50"/>
      <c r="HU25" s="50"/>
      <c r="HV25" s="50"/>
      <c r="HW25" s="50"/>
      <c r="HX25" s="50"/>
      <c r="HY25" s="50"/>
      <c r="HZ25" s="50"/>
      <c r="IA25" s="50"/>
      <c r="IB25" s="50"/>
      <c r="IC25" s="50"/>
      <c r="ID25" s="50"/>
      <c r="IE25" s="50"/>
      <c r="IF25" s="50"/>
      <c r="IG25" s="50"/>
      <c r="IH25" s="50"/>
      <c r="II25" s="50"/>
      <c r="IJ25" s="50"/>
      <c r="IK25" s="50"/>
      <c r="IL25" s="50"/>
      <c r="IM25" s="50"/>
      <c r="IN25" s="50"/>
      <c r="IO25" s="50"/>
      <c r="IP25" s="50"/>
      <c r="IQ25" s="50"/>
      <c r="IR25" s="50"/>
      <c r="IS25" s="50"/>
      <c r="IT25" s="50"/>
      <c r="IU25" s="50"/>
      <c r="IV25" s="50"/>
      <c r="IW25" s="50"/>
      <c r="IX25" s="50"/>
      <c r="IY25" s="50"/>
      <c r="IZ25" s="50"/>
      <c r="JA25" s="50"/>
      <c r="JB25" s="50"/>
      <c r="JC25" s="50"/>
      <c r="JD25" s="50"/>
      <c r="JE25" s="50"/>
      <c r="JF25" s="50"/>
      <c r="JG25" s="50"/>
      <c r="JH25" s="50"/>
      <c r="JI25" s="50"/>
      <c r="JJ25" s="50"/>
      <c r="JK25" s="50"/>
      <c r="JL25" s="50"/>
      <c r="JM25" s="50"/>
      <c r="JN25" s="50"/>
      <c r="JO25" s="50"/>
      <c r="JP25" s="50"/>
      <c r="JQ25" s="50"/>
      <c r="JR25" s="50"/>
      <c r="JS25" s="50"/>
      <c r="JT25" s="50"/>
      <c r="JU25" s="50"/>
      <c r="JV25" s="50"/>
      <c r="JW25" s="50"/>
      <c r="JX25" s="50"/>
      <c r="JY25" s="50"/>
      <c r="JZ25" s="50"/>
      <c r="KA25" s="50"/>
      <c r="KB25" s="50"/>
      <c r="KC25" s="50"/>
      <c r="KD25" s="50"/>
      <c r="KE25" s="50"/>
      <c r="KF25" s="50"/>
      <c r="KG25" s="50"/>
      <c r="KH25" s="50"/>
      <c r="KI25" s="50"/>
      <c r="KJ25" s="50"/>
      <c r="KK25" s="50"/>
      <c r="KL25" s="50"/>
      <c r="KM25" s="50"/>
      <c r="KN25" s="50"/>
      <c r="KO25" s="50"/>
      <c r="KP25" s="50"/>
      <c r="KQ25" s="50"/>
      <c r="KR25" s="50"/>
      <c r="KS25" s="50"/>
      <c r="KT25" s="50"/>
      <c r="KU25" s="50"/>
      <c r="KV25" s="50"/>
      <c r="KW25" s="50"/>
      <c r="KX25" s="50"/>
      <c r="KY25" s="50"/>
      <c r="KZ25" s="50"/>
      <c r="LA25" s="50"/>
      <c r="LB25" s="50"/>
      <c r="LC25" s="50"/>
      <c r="LD25" s="50"/>
      <c r="LE25" s="50"/>
      <c r="LF25" s="50"/>
      <c r="LG25" s="50"/>
      <c r="LH25" s="50"/>
      <c r="LI25" s="50"/>
      <c r="LJ25" s="50"/>
      <c r="LK25" s="50"/>
      <c r="LL25" s="50"/>
      <c r="LM25" s="50"/>
      <c r="LN25" s="50"/>
      <c r="LO25" s="50"/>
      <c r="LP25" s="50"/>
      <c r="LQ25" s="50"/>
      <c r="LR25" s="50"/>
      <c r="LS25" s="50"/>
      <c r="LT25" s="50"/>
      <c r="LU25" s="50"/>
      <c r="LV25" s="50"/>
      <c r="LW25" s="50"/>
      <c r="LX25" s="50"/>
      <c r="LY25" s="50"/>
      <c r="LZ25" s="50"/>
      <c r="MA25" s="50"/>
      <c r="MB25" s="50"/>
      <c r="MC25" s="50"/>
      <c r="MD25" s="50"/>
      <c r="ME25" s="50"/>
      <c r="MF25" s="50"/>
      <c r="MG25" s="50"/>
      <c r="MH25" s="50"/>
      <c r="MI25" s="50"/>
      <c r="MJ25" s="50"/>
      <c r="MK25" s="50"/>
      <c r="ML25" s="50"/>
      <c r="MM25" s="50"/>
      <c r="MN25" s="50"/>
      <c r="MO25" s="50"/>
      <c r="MP25" s="50"/>
      <c r="MQ25" s="50"/>
      <c r="MR25" s="50"/>
      <c r="MS25" s="50"/>
      <c r="MT25" s="50"/>
      <c r="MU25" s="50"/>
      <c r="MV25" s="50"/>
      <c r="MW25" s="50"/>
      <c r="MX25" s="50"/>
      <c r="MY25" s="50"/>
      <c r="MZ25" s="50"/>
      <c r="NA25" s="50"/>
      <c r="NB25" s="50"/>
      <c r="NC25" s="50"/>
      <c r="ND25" s="50"/>
      <c r="NE25" s="50"/>
      <c r="NF25" s="50"/>
      <c r="NG25" s="50"/>
      <c r="NH25" s="50"/>
      <c r="NI25" s="47"/>
      <c r="NJ25" s="47"/>
    </row>
    <row r="26" spans="1:374" x14ac:dyDescent="0.2">
      <c r="A26" s="47"/>
      <c r="B26" s="40"/>
      <c r="C26" s="40"/>
      <c r="D26" s="40"/>
      <c r="E26" s="45"/>
      <c r="F26" s="48"/>
      <c r="G26" s="49"/>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50"/>
      <c r="DF26" s="50"/>
      <c r="DG26" s="50"/>
      <c r="DH26" s="50"/>
      <c r="DI26" s="50"/>
      <c r="DJ26" s="50"/>
      <c r="DK26" s="50"/>
      <c r="DL26" s="50"/>
      <c r="DM26" s="50"/>
      <c r="DN26" s="50"/>
      <c r="DO26" s="50"/>
      <c r="DP26" s="50"/>
      <c r="DQ26" s="50"/>
      <c r="DR26" s="50"/>
      <c r="DS26" s="50"/>
      <c r="DT26" s="50"/>
      <c r="DU26" s="50"/>
      <c r="DV26" s="50"/>
      <c r="DW26" s="50"/>
      <c r="DX26" s="50"/>
      <c r="DY26" s="50"/>
      <c r="DZ26" s="50"/>
      <c r="EA26" s="50"/>
      <c r="EB26" s="50"/>
      <c r="EC26" s="50"/>
      <c r="ED26" s="50"/>
      <c r="EE26" s="50"/>
      <c r="EF26" s="50"/>
      <c r="EG26" s="50"/>
      <c r="EH26" s="50"/>
      <c r="EI26" s="50"/>
      <c r="EJ26" s="50"/>
      <c r="EK26" s="50"/>
      <c r="EL26" s="50"/>
      <c r="EM26" s="50"/>
      <c r="EN26" s="50"/>
      <c r="EO26" s="50"/>
      <c r="EP26" s="50"/>
      <c r="EQ26" s="50"/>
      <c r="ER26" s="50"/>
      <c r="ES26" s="50"/>
      <c r="ET26" s="50"/>
      <c r="EU26" s="50"/>
      <c r="EV26" s="50"/>
      <c r="EW26" s="50"/>
      <c r="EX26" s="50"/>
      <c r="EY26" s="50"/>
      <c r="EZ26" s="50"/>
      <c r="FA26" s="50"/>
      <c r="FB26" s="50"/>
      <c r="FC26" s="50"/>
      <c r="FD26" s="50"/>
      <c r="FE26" s="50"/>
      <c r="FF26" s="50"/>
      <c r="FG26" s="50"/>
      <c r="FH26" s="50"/>
      <c r="FI26" s="50"/>
      <c r="FJ26" s="50"/>
      <c r="FK26" s="50"/>
      <c r="FL26" s="50"/>
      <c r="FM26" s="50"/>
      <c r="FN26" s="50"/>
      <c r="FO26" s="50"/>
      <c r="FP26" s="50"/>
      <c r="FQ26" s="50"/>
      <c r="FR26" s="50"/>
      <c r="FS26" s="50"/>
      <c r="FT26" s="50"/>
      <c r="FU26" s="50"/>
      <c r="FV26" s="50"/>
      <c r="FW26" s="50"/>
      <c r="FX26" s="50"/>
      <c r="FY26" s="50"/>
      <c r="FZ26" s="50"/>
      <c r="GA26" s="50"/>
      <c r="GB26" s="50"/>
      <c r="GC26" s="50"/>
      <c r="GD26" s="50"/>
      <c r="GE26" s="50"/>
      <c r="GF26" s="50"/>
      <c r="GG26" s="50"/>
      <c r="GH26" s="50"/>
      <c r="GI26" s="50"/>
      <c r="GJ26" s="50"/>
      <c r="GK26" s="50"/>
      <c r="GL26" s="50"/>
      <c r="GM26" s="50"/>
      <c r="GN26" s="50"/>
      <c r="GO26" s="50"/>
      <c r="GP26" s="50"/>
      <c r="GQ26" s="50"/>
      <c r="GR26" s="50"/>
      <c r="GS26" s="50"/>
      <c r="GT26" s="50"/>
      <c r="GU26" s="50"/>
      <c r="GV26" s="50"/>
      <c r="GW26" s="50"/>
      <c r="GX26" s="50"/>
      <c r="GY26" s="50"/>
      <c r="GZ26" s="50"/>
      <c r="HA26" s="50"/>
      <c r="HB26" s="50"/>
      <c r="HC26" s="50"/>
      <c r="HD26" s="50"/>
      <c r="HE26" s="50"/>
      <c r="HF26" s="50"/>
      <c r="HG26" s="50"/>
      <c r="HH26" s="50"/>
      <c r="HI26" s="50"/>
      <c r="HJ26" s="50"/>
      <c r="HK26" s="50"/>
      <c r="HL26" s="50"/>
      <c r="HM26" s="50"/>
      <c r="HN26" s="50"/>
      <c r="HO26" s="50"/>
      <c r="HP26" s="50"/>
      <c r="HQ26" s="50"/>
      <c r="HR26" s="50"/>
      <c r="HS26" s="50"/>
      <c r="HT26" s="50"/>
      <c r="HU26" s="50"/>
      <c r="HV26" s="50"/>
      <c r="HW26" s="50"/>
      <c r="HX26" s="50"/>
      <c r="HY26" s="50"/>
      <c r="HZ26" s="50"/>
      <c r="IA26" s="50"/>
      <c r="IB26" s="50"/>
      <c r="IC26" s="50"/>
      <c r="ID26" s="50"/>
      <c r="IE26" s="50"/>
      <c r="IF26" s="50"/>
      <c r="IG26" s="50"/>
      <c r="IH26" s="50"/>
      <c r="II26" s="50"/>
      <c r="IJ26" s="50"/>
      <c r="IK26" s="50"/>
      <c r="IL26" s="50"/>
      <c r="IM26" s="50"/>
      <c r="IN26" s="50"/>
      <c r="IO26" s="50"/>
      <c r="IP26" s="50"/>
      <c r="IQ26" s="50"/>
      <c r="IR26" s="50"/>
      <c r="IS26" s="50"/>
      <c r="IT26" s="50"/>
      <c r="IU26" s="50"/>
      <c r="IV26" s="50"/>
      <c r="IW26" s="50"/>
      <c r="IX26" s="50"/>
      <c r="IY26" s="50"/>
      <c r="IZ26" s="50"/>
      <c r="JA26" s="50"/>
      <c r="JB26" s="50"/>
      <c r="JC26" s="50"/>
      <c r="JD26" s="50"/>
      <c r="JE26" s="50"/>
      <c r="JF26" s="50"/>
      <c r="JG26" s="50"/>
      <c r="JH26" s="50"/>
      <c r="JI26" s="50"/>
      <c r="JJ26" s="50"/>
      <c r="JK26" s="50"/>
      <c r="JL26" s="50"/>
      <c r="JM26" s="50"/>
      <c r="JN26" s="50"/>
      <c r="JO26" s="50"/>
      <c r="JP26" s="50"/>
      <c r="JQ26" s="50"/>
      <c r="JR26" s="50"/>
      <c r="JS26" s="50"/>
      <c r="JT26" s="50"/>
      <c r="JU26" s="50"/>
      <c r="JV26" s="50"/>
      <c r="JW26" s="50"/>
      <c r="JX26" s="50"/>
      <c r="JY26" s="50"/>
      <c r="JZ26" s="50"/>
      <c r="KA26" s="50"/>
      <c r="KB26" s="50"/>
      <c r="KC26" s="50"/>
      <c r="KD26" s="50"/>
      <c r="KE26" s="50"/>
      <c r="KF26" s="50"/>
      <c r="KG26" s="50"/>
      <c r="KH26" s="50"/>
      <c r="KI26" s="50"/>
      <c r="KJ26" s="50"/>
      <c r="KK26" s="50"/>
      <c r="KL26" s="50"/>
      <c r="KM26" s="50"/>
      <c r="KN26" s="50"/>
      <c r="KO26" s="50"/>
      <c r="KP26" s="50"/>
      <c r="KQ26" s="50"/>
      <c r="KR26" s="50"/>
      <c r="KS26" s="50"/>
      <c r="KT26" s="50"/>
      <c r="KU26" s="50"/>
      <c r="KV26" s="50"/>
      <c r="KW26" s="50"/>
      <c r="KX26" s="50"/>
      <c r="KY26" s="50"/>
      <c r="KZ26" s="50"/>
      <c r="LA26" s="50"/>
      <c r="LB26" s="50"/>
      <c r="LC26" s="50"/>
      <c r="LD26" s="50"/>
      <c r="LE26" s="50"/>
      <c r="LF26" s="50"/>
      <c r="LG26" s="50"/>
      <c r="LH26" s="50"/>
      <c r="LI26" s="50"/>
      <c r="LJ26" s="50"/>
      <c r="LK26" s="50"/>
      <c r="LL26" s="50"/>
      <c r="LM26" s="50"/>
      <c r="LN26" s="50"/>
      <c r="LO26" s="50"/>
      <c r="LP26" s="50"/>
      <c r="LQ26" s="50"/>
      <c r="LR26" s="50"/>
      <c r="LS26" s="50"/>
      <c r="LT26" s="50"/>
      <c r="LU26" s="50"/>
      <c r="LV26" s="50"/>
      <c r="LW26" s="50"/>
      <c r="LX26" s="50"/>
      <c r="LY26" s="50"/>
      <c r="LZ26" s="50"/>
      <c r="MA26" s="50"/>
      <c r="MB26" s="50"/>
      <c r="MC26" s="50"/>
      <c r="MD26" s="50"/>
      <c r="ME26" s="50"/>
      <c r="MF26" s="50"/>
      <c r="MG26" s="50"/>
      <c r="MH26" s="50"/>
      <c r="MI26" s="50"/>
      <c r="MJ26" s="50"/>
      <c r="MK26" s="50"/>
      <c r="ML26" s="50"/>
      <c r="MM26" s="50"/>
      <c r="MN26" s="50"/>
      <c r="MO26" s="50"/>
      <c r="MP26" s="50"/>
      <c r="MQ26" s="50"/>
      <c r="MR26" s="50"/>
      <c r="MS26" s="50"/>
      <c r="MT26" s="50"/>
      <c r="MU26" s="50"/>
      <c r="MV26" s="50"/>
      <c r="MW26" s="50"/>
      <c r="MX26" s="50"/>
      <c r="MY26" s="50"/>
      <c r="MZ26" s="50"/>
      <c r="NA26" s="50"/>
      <c r="NB26" s="50"/>
      <c r="NC26" s="50"/>
      <c r="ND26" s="50"/>
      <c r="NE26" s="50"/>
      <c r="NF26" s="50"/>
      <c r="NG26" s="50"/>
      <c r="NH26" s="50"/>
      <c r="NI26" s="47"/>
      <c r="NJ26" s="47"/>
    </row>
    <row r="27" spans="1:374" x14ac:dyDescent="0.2">
      <c r="A27" s="47"/>
      <c r="B27" s="40"/>
      <c r="C27" s="40"/>
      <c r="D27" s="40"/>
      <c r="E27" s="45"/>
      <c r="F27" s="54"/>
      <c r="G27" s="49"/>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50"/>
      <c r="DF27" s="50"/>
      <c r="DG27" s="50"/>
      <c r="DH27" s="50"/>
      <c r="DI27" s="50"/>
      <c r="DJ27" s="50"/>
      <c r="DK27" s="50"/>
      <c r="DL27" s="50"/>
      <c r="DM27" s="50"/>
      <c r="DN27" s="50"/>
      <c r="DO27" s="50"/>
      <c r="DP27" s="50"/>
      <c r="DQ27" s="50"/>
      <c r="DR27" s="50"/>
      <c r="DS27" s="50"/>
      <c r="DT27" s="50"/>
      <c r="DU27" s="50"/>
      <c r="DV27" s="50"/>
      <c r="DW27" s="50"/>
      <c r="DX27" s="50"/>
      <c r="DY27" s="50"/>
      <c r="DZ27" s="50"/>
      <c r="EA27" s="50"/>
      <c r="EB27" s="50"/>
      <c r="EC27" s="50"/>
      <c r="ED27" s="50"/>
      <c r="EE27" s="50"/>
      <c r="EF27" s="50"/>
      <c r="EG27" s="50"/>
      <c r="EH27" s="50"/>
      <c r="EI27" s="50"/>
      <c r="EJ27" s="50"/>
      <c r="EK27" s="50"/>
      <c r="EL27" s="50"/>
      <c r="EM27" s="50"/>
      <c r="EN27" s="50"/>
      <c r="EO27" s="50"/>
      <c r="EP27" s="50"/>
      <c r="EQ27" s="50"/>
      <c r="ER27" s="50"/>
      <c r="ES27" s="50"/>
      <c r="ET27" s="50"/>
      <c r="EU27" s="50"/>
      <c r="EV27" s="50"/>
      <c r="EW27" s="50"/>
      <c r="EX27" s="50"/>
      <c r="EY27" s="50"/>
      <c r="EZ27" s="50"/>
      <c r="FA27" s="50"/>
      <c r="FB27" s="50"/>
      <c r="FC27" s="50"/>
      <c r="FD27" s="50"/>
      <c r="FE27" s="50"/>
      <c r="FF27" s="50"/>
      <c r="FG27" s="50"/>
      <c r="FH27" s="50"/>
      <c r="FI27" s="50"/>
      <c r="FJ27" s="50"/>
      <c r="FK27" s="50"/>
      <c r="FL27" s="50"/>
      <c r="FM27" s="50"/>
      <c r="FN27" s="50"/>
      <c r="FO27" s="50"/>
      <c r="FP27" s="50"/>
      <c r="FQ27" s="50"/>
      <c r="FR27" s="50"/>
      <c r="FS27" s="50"/>
      <c r="FT27" s="50"/>
      <c r="FU27" s="50"/>
      <c r="FV27" s="50"/>
      <c r="FW27" s="50"/>
      <c r="FX27" s="50"/>
      <c r="FY27" s="50"/>
      <c r="FZ27" s="50"/>
      <c r="GA27" s="50"/>
      <c r="GB27" s="50"/>
      <c r="GC27" s="50"/>
      <c r="GD27" s="50"/>
      <c r="GE27" s="50"/>
      <c r="GF27" s="50"/>
      <c r="GG27" s="50"/>
      <c r="GH27" s="50"/>
      <c r="GI27" s="50"/>
      <c r="GJ27" s="50"/>
      <c r="GK27" s="50"/>
      <c r="GL27" s="50"/>
      <c r="GM27" s="50"/>
      <c r="GN27" s="50"/>
      <c r="GO27" s="50"/>
      <c r="GP27" s="50"/>
      <c r="GQ27" s="50"/>
      <c r="GR27" s="50"/>
      <c r="GS27" s="50"/>
      <c r="GT27" s="50"/>
      <c r="GU27" s="50"/>
      <c r="GV27" s="50"/>
      <c r="GW27" s="50"/>
      <c r="GX27" s="50"/>
      <c r="GY27" s="50"/>
      <c r="GZ27" s="50"/>
      <c r="HA27" s="50"/>
      <c r="HB27" s="50"/>
      <c r="HC27" s="50"/>
      <c r="HD27" s="50"/>
      <c r="HE27" s="50"/>
      <c r="HF27" s="50"/>
      <c r="HG27" s="50"/>
      <c r="HH27" s="50"/>
      <c r="HI27" s="50"/>
      <c r="HJ27" s="50"/>
      <c r="HK27" s="50"/>
      <c r="HL27" s="50"/>
      <c r="HM27" s="50"/>
      <c r="HN27" s="50"/>
      <c r="HO27" s="50"/>
      <c r="HP27" s="50"/>
      <c r="HQ27" s="50"/>
      <c r="HR27" s="50"/>
      <c r="HS27" s="50"/>
      <c r="HT27" s="50"/>
      <c r="HU27" s="50"/>
      <c r="HV27" s="50"/>
      <c r="HW27" s="50"/>
      <c r="HX27" s="50"/>
      <c r="HY27" s="50"/>
      <c r="HZ27" s="50"/>
      <c r="IA27" s="50"/>
      <c r="IB27" s="50"/>
      <c r="IC27" s="50"/>
      <c r="ID27" s="50"/>
      <c r="IE27" s="50"/>
      <c r="IF27" s="50"/>
      <c r="IG27" s="50"/>
      <c r="IH27" s="50"/>
      <c r="II27" s="50"/>
      <c r="IJ27" s="50"/>
      <c r="IK27" s="50"/>
      <c r="IL27" s="50"/>
      <c r="IM27" s="50"/>
      <c r="IN27" s="50"/>
      <c r="IO27" s="50"/>
      <c r="IP27" s="50"/>
      <c r="IQ27" s="50"/>
      <c r="IR27" s="50"/>
      <c r="IS27" s="50"/>
      <c r="IT27" s="50"/>
      <c r="IU27" s="50"/>
      <c r="IV27" s="50"/>
      <c r="IW27" s="50"/>
      <c r="IX27" s="50"/>
      <c r="IY27" s="50"/>
      <c r="IZ27" s="50"/>
      <c r="JA27" s="50"/>
      <c r="JB27" s="50"/>
      <c r="JC27" s="50"/>
      <c r="JD27" s="50"/>
      <c r="JE27" s="50"/>
      <c r="JF27" s="50"/>
      <c r="JG27" s="50"/>
      <c r="JH27" s="50"/>
      <c r="JI27" s="50"/>
      <c r="JJ27" s="50"/>
      <c r="JK27" s="50"/>
      <c r="JL27" s="50"/>
      <c r="JM27" s="50"/>
      <c r="JN27" s="50"/>
      <c r="JO27" s="50"/>
      <c r="JP27" s="50"/>
      <c r="JQ27" s="50"/>
      <c r="JR27" s="50"/>
      <c r="JS27" s="50"/>
      <c r="JT27" s="50"/>
      <c r="JU27" s="50"/>
      <c r="JV27" s="50"/>
      <c r="JW27" s="50"/>
      <c r="JX27" s="50"/>
      <c r="JY27" s="50"/>
      <c r="JZ27" s="50"/>
      <c r="KA27" s="50"/>
      <c r="KB27" s="50"/>
      <c r="KC27" s="50"/>
      <c r="KD27" s="50"/>
      <c r="KE27" s="50"/>
      <c r="KF27" s="50"/>
      <c r="KG27" s="50"/>
      <c r="KH27" s="50"/>
      <c r="KI27" s="50"/>
      <c r="KJ27" s="50"/>
      <c r="KK27" s="50"/>
      <c r="KL27" s="50"/>
      <c r="KM27" s="50"/>
      <c r="KN27" s="50"/>
      <c r="KO27" s="50"/>
      <c r="KP27" s="50"/>
      <c r="KQ27" s="50"/>
      <c r="KR27" s="50"/>
      <c r="KS27" s="50"/>
      <c r="KT27" s="50"/>
      <c r="KU27" s="50"/>
      <c r="KV27" s="50"/>
      <c r="KW27" s="50"/>
      <c r="KX27" s="50"/>
      <c r="KY27" s="50"/>
      <c r="KZ27" s="50"/>
      <c r="LA27" s="50"/>
      <c r="LB27" s="50"/>
      <c r="LC27" s="50"/>
      <c r="LD27" s="50"/>
      <c r="LE27" s="50"/>
      <c r="LF27" s="50"/>
      <c r="LG27" s="50"/>
      <c r="LH27" s="50"/>
      <c r="LI27" s="50"/>
      <c r="LJ27" s="50"/>
      <c r="LK27" s="50"/>
      <c r="LL27" s="50"/>
      <c r="LM27" s="50"/>
      <c r="LN27" s="50"/>
      <c r="LO27" s="50"/>
      <c r="LP27" s="50"/>
      <c r="LQ27" s="50"/>
      <c r="LR27" s="50"/>
      <c r="LS27" s="50"/>
      <c r="LT27" s="50"/>
      <c r="LU27" s="50"/>
      <c r="LV27" s="50"/>
      <c r="LW27" s="50"/>
      <c r="LX27" s="50"/>
      <c r="LY27" s="50"/>
      <c r="LZ27" s="50"/>
      <c r="MA27" s="50"/>
      <c r="MB27" s="50"/>
      <c r="MC27" s="50"/>
      <c r="MD27" s="50"/>
      <c r="ME27" s="50"/>
      <c r="MF27" s="50"/>
      <c r="MG27" s="50"/>
      <c r="MH27" s="50"/>
      <c r="MI27" s="50"/>
      <c r="MJ27" s="50"/>
      <c r="MK27" s="50"/>
      <c r="ML27" s="50"/>
      <c r="MM27" s="50"/>
      <c r="MN27" s="50"/>
      <c r="MO27" s="50"/>
      <c r="MP27" s="50"/>
      <c r="MQ27" s="50"/>
      <c r="MR27" s="50"/>
      <c r="MS27" s="50"/>
      <c r="MT27" s="50"/>
      <c r="MU27" s="50"/>
      <c r="MV27" s="50"/>
      <c r="MW27" s="50"/>
      <c r="MX27" s="50"/>
      <c r="MY27" s="50"/>
      <c r="MZ27" s="50"/>
      <c r="NA27" s="50"/>
      <c r="NB27" s="50"/>
      <c r="NC27" s="50"/>
      <c r="ND27" s="50"/>
      <c r="NE27" s="50"/>
      <c r="NF27" s="50"/>
      <c r="NG27" s="50"/>
      <c r="NH27" s="50"/>
      <c r="NI27" s="47"/>
      <c r="NJ27" s="47"/>
    </row>
  </sheetData>
  <sheetProtection sheet="1" objects="1" scenarios="1" selectLockedCells="1" sort="0" autoFilter="0"/>
  <mergeCells count="1">
    <mergeCell ref="B21:F21"/>
  </mergeCells>
  <phoneticPr fontId="4" type="noConversion"/>
  <conditionalFormatting sqref="G5:NH6 G8:NI11">
    <cfRule type="expression" dxfId="1179" priority="17623">
      <formula>IF(G$5="Sa",TRUE,FALSE)</formula>
    </cfRule>
  </conditionalFormatting>
  <conditionalFormatting sqref="G23:NI24">
    <cfRule type="expression" dxfId="1178" priority="16555">
      <formula>IF(G$5="So",TRUE,FALSE)</formula>
    </cfRule>
    <cfRule type="expression" dxfId="1177" priority="16556">
      <formula>IF(G$5="Sa",TRUE,FALSE)</formula>
    </cfRule>
    <cfRule type="expression" dxfId="1176" priority="16564">
      <formula>IF(G$5="So",TRUE,FALSE)</formula>
    </cfRule>
    <cfRule type="expression" dxfId="1175" priority="16565">
      <formula>IF(G$5="Sa",TRUE,FALSE)</formula>
    </cfRule>
  </conditionalFormatting>
  <conditionalFormatting sqref="G8:NG11">
    <cfRule type="expression" dxfId="1174" priority="16210">
      <formula>IF(G$5="So",TRUE,FALSE)</formula>
    </cfRule>
    <cfRule type="expression" dxfId="1173" priority="16211">
      <formula>IF(G$5="Sa",TRUE,FALSE)</formula>
    </cfRule>
    <cfRule type="expression" dxfId="1172" priority="16219">
      <formula>IF(G$5="So",TRUE,FALSE)</formula>
    </cfRule>
    <cfRule type="expression" dxfId="1171" priority="16220">
      <formula>IF(G$5="Sa",TRUE,FALSE)</formula>
    </cfRule>
    <cfRule type="expression" dxfId="1170" priority="16238">
      <formula>IF(G$5="So",TRUE,FALSE)</formula>
    </cfRule>
    <cfRule type="expression" dxfId="1169" priority="16239">
      <formula>IF(G$5="Sa",TRUE,FALSE)</formula>
    </cfRule>
    <cfRule type="expression" dxfId="1168" priority="16247">
      <formula>IF(G$5="So",TRUE,FALSE)</formula>
    </cfRule>
    <cfRule type="expression" dxfId="1167" priority="16248">
      <formula>IF(G$5="Sa",TRUE,FALSE)</formula>
    </cfRule>
    <cfRule type="expression" dxfId="1166" priority="16266">
      <formula>IF(G$5="So",TRUE,FALSE)</formula>
    </cfRule>
    <cfRule type="expression" dxfId="1165" priority="16267">
      <formula>IF(G$5="Sa",TRUE,FALSE)</formula>
    </cfRule>
    <cfRule type="expression" dxfId="1164" priority="16275">
      <formula>IF(G$5="So",TRUE,FALSE)</formula>
    </cfRule>
    <cfRule type="expression" dxfId="1163" priority="16276">
      <formula>IF(G$5="Sa",TRUE,FALSE)</formula>
    </cfRule>
    <cfRule type="expression" dxfId="1162" priority="16355">
      <formula>IF(G$5="So",TRUE,FALSE)</formula>
    </cfRule>
    <cfRule type="expression" dxfId="1161" priority="16356">
      <formula>IF(G$5="Sa",TRUE,FALSE)</formula>
    </cfRule>
    <cfRule type="expression" dxfId="1160" priority="16364">
      <formula>IF(G$5="So",TRUE,FALSE)</formula>
    </cfRule>
    <cfRule type="expression" dxfId="1159" priority="16365">
      <formula>IF(G$5="Sa",TRUE,FALSE)</formula>
    </cfRule>
    <cfRule type="expression" dxfId="1158" priority="16383">
      <formula>IF(G$5="So",TRUE,FALSE)</formula>
    </cfRule>
    <cfRule type="expression" dxfId="1157" priority="16384">
      <formula>IF(G$5="Sa",TRUE,FALSE)</formula>
    </cfRule>
    <cfRule type="expression" dxfId="1156" priority="16392">
      <formula>IF(G$5="So",TRUE,FALSE)</formula>
    </cfRule>
    <cfRule type="expression" dxfId="1155" priority="16393">
      <formula>IF(G$5="Sa",TRUE,FALSE)</formula>
    </cfRule>
    <cfRule type="expression" dxfId="1154" priority="16411">
      <formula>IF(G$5="So",TRUE,FALSE)</formula>
    </cfRule>
    <cfRule type="expression" dxfId="1153" priority="16412">
      <formula>IF(G$5="Sa",TRUE,FALSE)</formula>
    </cfRule>
    <cfRule type="expression" dxfId="1152" priority="16420">
      <formula>IF(G$5="So",TRUE,FALSE)</formula>
    </cfRule>
    <cfRule type="expression" dxfId="1151" priority="16421">
      <formula>IF(G$5="Sa",TRUE,FALSE)</formula>
    </cfRule>
    <cfRule type="expression" dxfId="1150" priority="16440">
      <formula>IF(G$5="So",TRUE,FALSE)</formula>
    </cfRule>
    <cfRule type="expression" dxfId="1149" priority="16441">
      <formula>IF(G$5="Sa",TRUE,FALSE)</formula>
    </cfRule>
    <cfRule type="expression" dxfId="1148" priority="16449">
      <formula>IF(G$5="So",TRUE,FALSE)</formula>
    </cfRule>
    <cfRule type="expression" dxfId="1147" priority="16450">
      <formula>IF(G$5="Sa",TRUE,FALSE)</formula>
    </cfRule>
    <cfRule type="expression" dxfId="1146" priority="16468">
      <formula>IF(G$5="So",TRUE,FALSE)</formula>
    </cfRule>
    <cfRule type="expression" dxfId="1145" priority="16469">
      <formula>IF(G$5="Sa",TRUE,FALSE)</formula>
    </cfRule>
    <cfRule type="expression" dxfId="1144" priority="16477">
      <formula>IF(G$5="So",TRUE,FALSE)</formula>
    </cfRule>
    <cfRule type="expression" dxfId="1143" priority="16478">
      <formula>IF(G$5="Sa",TRUE,FALSE)</formula>
    </cfRule>
    <cfRule type="expression" dxfId="1142" priority="17592">
      <formula>IF(G$5="So",TRUE,FALSE)</formula>
    </cfRule>
    <cfRule type="expression" dxfId="1141" priority="17593">
      <formula>IF(G$5="Sa",TRUE,FALSE)</formula>
    </cfRule>
  </conditionalFormatting>
  <conditionalFormatting sqref="G5:NG6 G8:NG11">
    <cfRule type="expression" dxfId="1140" priority="17622">
      <formula>IF(G$5="So",TRUE,FALSE)</formula>
    </cfRule>
  </conditionalFormatting>
  <conditionalFormatting sqref="G25 M25:AB25 AH25:AW25">
    <cfRule type="expression" dxfId="1139" priority="15753">
      <formula>IF(G$5="Sa",TRUE,FALSE)</formula>
    </cfRule>
  </conditionalFormatting>
  <conditionalFormatting sqref="G25:NG25">
    <cfRule type="expression" dxfId="1138" priority="15515">
      <formula>IF(G$5="So",TRUE,FALSE)</formula>
    </cfRule>
    <cfRule type="expression" dxfId="1137" priority="15516">
      <formula>IF(G$5="Sa",TRUE,FALSE)</formula>
    </cfRule>
    <cfRule type="expression" dxfId="1136" priority="15524">
      <formula>IF(G$5="So",TRUE,FALSE)</formula>
    </cfRule>
    <cfRule type="expression" dxfId="1135" priority="15525">
      <formula>IF(G$5="Sa",TRUE,FALSE)</formula>
    </cfRule>
    <cfRule type="expression" dxfId="1134" priority="15543">
      <formula>IF(G$5="So",TRUE,FALSE)</formula>
    </cfRule>
    <cfRule type="expression" dxfId="1133" priority="15544">
      <formula>IF(G$5="Sa",TRUE,FALSE)</formula>
    </cfRule>
    <cfRule type="expression" dxfId="1132" priority="15551">
      <formula>IF(G$5="So",TRUE,FALSE)</formula>
    </cfRule>
    <cfRule type="expression" dxfId="1131" priority="15552">
      <formula>IF(G$5="Sa",TRUE,FALSE)</formula>
    </cfRule>
    <cfRule type="expression" dxfId="1130" priority="15570">
      <formula>IF(G$5="So",TRUE,FALSE)</formula>
    </cfRule>
    <cfRule type="expression" dxfId="1129" priority="15571">
      <formula>IF(G$5="Sa",TRUE,FALSE)</formula>
    </cfRule>
    <cfRule type="expression" dxfId="1128" priority="15579">
      <formula>IF(G$5="So",TRUE,FALSE)</formula>
    </cfRule>
    <cfRule type="expression" dxfId="1127" priority="15580">
      <formula>IF(G$5="Sa",TRUE,FALSE)</formula>
    </cfRule>
    <cfRule type="expression" dxfId="1126" priority="15601">
      <formula>IF(G$5="So",TRUE,FALSE)</formula>
    </cfRule>
    <cfRule type="expression" dxfId="1125" priority="15602">
      <formula>IF(G$5="Sa",TRUE,FALSE)</formula>
    </cfRule>
    <cfRule type="expression" dxfId="1124" priority="15610">
      <formula>IF(G$5="So",TRUE,FALSE)</formula>
    </cfRule>
    <cfRule type="expression" dxfId="1123" priority="15611">
      <formula>IF(G$5="Sa",TRUE,FALSE)</formula>
    </cfRule>
    <cfRule type="expression" dxfId="1122" priority="15629">
      <formula>IF(G$5="So",TRUE,FALSE)</formula>
    </cfRule>
    <cfRule type="expression" dxfId="1121" priority="15630">
      <formula>IF(G$5="Sa",TRUE,FALSE)</formula>
    </cfRule>
    <cfRule type="expression" dxfId="1120" priority="15638">
      <formula>IF(G$5="So",TRUE,FALSE)</formula>
    </cfRule>
    <cfRule type="expression" dxfId="1119" priority="15639">
      <formula>IF(G$5="Sa",TRUE,FALSE)</formula>
    </cfRule>
    <cfRule type="expression" dxfId="1118" priority="15657">
      <formula>IF(G$5="So",TRUE,FALSE)</formula>
    </cfRule>
    <cfRule type="expression" dxfId="1117" priority="15658">
      <formula>IF(G$5="Sa",TRUE,FALSE)</formula>
    </cfRule>
    <cfRule type="expression" dxfId="1116" priority="15666">
      <formula>IF(G$5="So",TRUE,FALSE)</formula>
    </cfRule>
    <cfRule type="expression" dxfId="1115" priority="15667">
      <formula>IF(G$5="Sa",TRUE,FALSE)</formula>
    </cfRule>
    <cfRule type="expression" dxfId="1114" priority="15686">
      <formula>IF(G$5="So",TRUE,FALSE)</formula>
    </cfRule>
    <cfRule type="expression" dxfId="1113" priority="15687">
      <formula>IF(G$5="Sa",TRUE,FALSE)</formula>
    </cfRule>
    <cfRule type="expression" dxfId="1112" priority="15695">
      <formula>IF(G$5="So",TRUE,FALSE)</formula>
    </cfRule>
    <cfRule type="expression" dxfId="1111" priority="15696">
      <formula>IF(G$5="Sa",TRUE,FALSE)</formula>
    </cfRule>
    <cfRule type="expression" dxfId="1110" priority="15714">
      <formula>IF(G$5="So",TRUE,FALSE)</formula>
    </cfRule>
    <cfRule type="expression" dxfId="1109" priority="15715">
      <formula>IF(G$5="Sa",TRUE,FALSE)</formula>
    </cfRule>
    <cfRule type="expression" dxfId="1108" priority="15723">
      <formula>IF(G$5="So",TRUE,FALSE)</formula>
    </cfRule>
    <cfRule type="expression" dxfId="1107" priority="15724">
      <formula>IF(G$5="Sa",TRUE,FALSE)</formula>
    </cfRule>
    <cfRule type="expression" dxfId="1106" priority="15743">
      <formula>IF(G$5="So",TRUE,FALSE)</formula>
    </cfRule>
    <cfRule type="expression" dxfId="1105" priority="15744">
      <formula>IF(G$5="Sa",TRUE,FALSE)</formula>
    </cfRule>
  </conditionalFormatting>
  <conditionalFormatting sqref="G25:NG25">
    <cfRule type="expression" dxfId="1104" priority="15752">
      <formula>IF(G$5="So",TRUE,FALSE)</formula>
    </cfRule>
  </conditionalFormatting>
  <conditionalFormatting sqref="G26:G27 M26:AB27 AH26:AW27">
    <cfRule type="expression" dxfId="1103" priority="8538">
      <formula>IF(G$5="Sa",TRUE,FALSE)</formula>
    </cfRule>
  </conditionalFormatting>
  <conditionalFormatting sqref="G26:NG27">
    <cfRule type="expression" dxfId="1102" priority="8300">
      <formula>IF(G$5="So",TRUE,FALSE)</formula>
    </cfRule>
    <cfRule type="expression" dxfId="1101" priority="8301">
      <formula>IF(G$5="Sa",TRUE,FALSE)</formula>
    </cfRule>
    <cfRule type="expression" dxfId="1100" priority="8309">
      <formula>IF(G$5="So",TRUE,FALSE)</formula>
    </cfRule>
    <cfRule type="expression" dxfId="1099" priority="8310">
      <formula>IF(G$5="Sa",TRUE,FALSE)</formula>
    </cfRule>
    <cfRule type="expression" dxfId="1098" priority="8328">
      <formula>IF(G$5="So",TRUE,FALSE)</formula>
    </cfRule>
    <cfRule type="expression" dxfId="1097" priority="8329">
      <formula>IF(G$5="Sa",TRUE,FALSE)</formula>
    </cfRule>
    <cfRule type="expression" dxfId="1096" priority="8336">
      <formula>IF(G$5="So",TRUE,FALSE)</formula>
    </cfRule>
    <cfRule type="expression" dxfId="1095" priority="8337">
      <formula>IF(G$5="Sa",TRUE,FALSE)</formula>
    </cfRule>
    <cfRule type="expression" dxfId="1094" priority="8355">
      <formula>IF(G$5="So",TRUE,FALSE)</formula>
    </cfRule>
    <cfRule type="expression" dxfId="1093" priority="8356">
      <formula>IF(G$5="Sa",TRUE,FALSE)</formula>
    </cfRule>
    <cfRule type="expression" dxfId="1092" priority="8364">
      <formula>IF(G$5="So",TRUE,FALSE)</formula>
    </cfRule>
    <cfRule type="expression" dxfId="1091" priority="8365">
      <formula>IF(G$5="Sa",TRUE,FALSE)</formula>
    </cfRule>
    <cfRule type="expression" dxfId="1090" priority="8386">
      <formula>IF(G$5="So",TRUE,FALSE)</formula>
    </cfRule>
    <cfRule type="expression" dxfId="1089" priority="8387">
      <formula>IF(G$5="Sa",TRUE,FALSE)</formula>
    </cfRule>
    <cfRule type="expression" dxfId="1088" priority="8395">
      <formula>IF(G$5="So",TRUE,FALSE)</formula>
    </cfRule>
    <cfRule type="expression" dxfId="1087" priority="8396">
      <formula>IF(G$5="Sa",TRUE,FALSE)</formula>
    </cfRule>
    <cfRule type="expression" dxfId="1086" priority="8414">
      <formula>IF(G$5="So",TRUE,FALSE)</formula>
    </cfRule>
    <cfRule type="expression" dxfId="1085" priority="8415">
      <formula>IF(G$5="Sa",TRUE,FALSE)</formula>
    </cfRule>
    <cfRule type="expression" dxfId="1084" priority="8423">
      <formula>IF(G$5="So",TRUE,FALSE)</formula>
    </cfRule>
    <cfRule type="expression" dxfId="1083" priority="8424">
      <formula>IF(G$5="Sa",TRUE,FALSE)</formula>
    </cfRule>
    <cfRule type="expression" dxfId="1082" priority="8442">
      <formula>IF(G$5="So",TRUE,FALSE)</formula>
    </cfRule>
    <cfRule type="expression" dxfId="1081" priority="8443">
      <formula>IF(G$5="Sa",TRUE,FALSE)</formula>
    </cfRule>
    <cfRule type="expression" dxfId="1080" priority="8451">
      <formula>IF(G$5="So",TRUE,FALSE)</formula>
    </cfRule>
    <cfRule type="expression" dxfId="1079" priority="8452">
      <formula>IF(G$5="Sa",TRUE,FALSE)</formula>
    </cfRule>
    <cfRule type="expression" dxfId="1078" priority="8471">
      <formula>IF(G$5="So",TRUE,FALSE)</formula>
    </cfRule>
    <cfRule type="expression" dxfId="1077" priority="8472">
      <formula>IF(G$5="Sa",TRUE,FALSE)</formula>
    </cfRule>
    <cfRule type="expression" dxfId="1076" priority="8480">
      <formula>IF(G$5="So",TRUE,FALSE)</formula>
    </cfRule>
    <cfRule type="expression" dxfId="1075" priority="8481">
      <formula>IF(G$5="Sa",TRUE,FALSE)</formula>
    </cfRule>
    <cfRule type="expression" dxfId="1074" priority="8499">
      <formula>IF(G$5="So",TRUE,FALSE)</formula>
    </cfRule>
    <cfRule type="expression" dxfId="1073" priority="8500">
      <formula>IF(G$5="Sa",TRUE,FALSE)</formula>
    </cfRule>
    <cfRule type="expression" dxfId="1072" priority="8508">
      <formula>IF(G$5="So",TRUE,FALSE)</formula>
    </cfRule>
    <cfRule type="expression" dxfId="1071" priority="8509">
      <formula>IF(G$5="Sa",TRUE,FALSE)</formula>
    </cfRule>
    <cfRule type="expression" dxfId="1070" priority="8528">
      <formula>IF(G$5="So",TRUE,FALSE)</formula>
    </cfRule>
    <cfRule type="expression" dxfId="1069" priority="8529">
      <formula>IF(G$5="Sa",TRUE,FALSE)</formula>
    </cfRule>
  </conditionalFormatting>
  <conditionalFormatting sqref="G26:NG27">
    <cfRule type="expression" dxfId="1068" priority="8537">
      <formula>IF(G$5="So",TRUE,FALSE)</formula>
    </cfRule>
  </conditionalFormatting>
  <dataValidations count="1">
    <dataValidation type="date" allowBlank="1" showInputMessage="1" showErrorMessage="1" sqref="A4:B4 D4" xr:uid="{00000000-0002-0000-0100-000000000000}">
      <formula1>44562</formula1>
      <formula2>44926</formula2>
    </dataValidation>
  </dataValidations>
  <pageMargins left="0.7" right="0.7" top="0.78740157499999996" bottom="0.78740157499999996" header="0.3" footer="0.3"/>
  <pageSetup paperSize="9" orientation="landscape" cellComments="asDisplayed" r:id="rId1"/>
  <ignoredErrors>
    <ignoredError sqref="NH5" formula="1"/>
  </ignoredErrors>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containsText" priority="5186" operator="containsText" id="{F7E2041C-3227-4B87-BD48-FEBF031C09AF}">
            <xm:f>NOT(ISERROR(SEARCH(Einstellungen!$A$22,G8)))</xm:f>
            <xm:f>Einstellungen!$A$22</xm:f>
            <x14:dxf>
              <font>
                <color theme="1"/>
              </font>
              <fill>
                <patternFill>
                  <bgColor theme="0" tint="-0.24994659260841701"/>
                </patternFill>
              </fill>
            </x14:dxf>
          </x14:cfRule>
          <x14:cfRule type="containsText" priority="5187" operator="containsText" id="{98BF7641-F758-4CC1-87A8-650DFD951803}">
            <xm:f>NOT(ISERROR(SEARCH(Einstellungen!$A$21,G8)))</xm:f>
            <xm:f>Einstellungen!$A$21</xm:f>
            <x14:dxf>
              <font>
                <color theme="0"/>
              </font>
              <fill>
                <patternFill>
                  <bgColor theme="9" tint="-0.499984740745262"/>
                </patternFill>
              </fill>
            </x14:dxf>
          </x14:cfRule>
          <x14:cfRule type="containsText" priority="16011" operator="containsText" id="{B2A7288C-DB88-464A-8CFC-A728B1C3533E}">
            <xm:f>NOT(ISERROR(SEARCH(Einstellungen!$A$19,G8)))</xm:f>
            <xm:f>Einstellungen!$A$19</xm:f>
            <x14:dxf>
              <font>
                <color theme="1"/>
              </font>
              <fill>
                <patternFill>
                  <bgColor theme="0" tint="-0.24994659260841701"/>
                </patternFill>
              </fill>
            </x14:dxf>
          </x14:cfRule>
          <xm:sqref>G8:NG11</xm:sqref>
        </x14:conditionalFormatting>
        <x14:conditionalFormatting xmlns:xm="http://schemas.microsoft.com/office/excel/2006/main">
          <x14:cfRule type="containsText" priority="16538" operator="containsText" id="{A797FF8F-FE4B-4666-B23C-178EE16AC7DA}">
            <xm:f>NOT(ISERROR(SEARCH(Einstellungen!$A$7,G23)))</xm:f>
            <xm:f>Einstellungen!$A$7</xm:f>
            <x14:dxf>
              <font>
                <color theme="1"/>
              </font>
              <fill>
                <patternFill>
                  <bgColor theme="7" tint="0.79998168889431442"/>
                </patternFill>
              </fill>
            </x14:dxf>
          </x14:cfRule>
          <x14:cfRule type="containsText" priority="16539" operator="containsText" id="{71DE010B-52E2-4151-9BC0-63CF34D40CB2}">
            <xm:f>NOT(ISERROR(SEARCH(Einstellungen!$A$9,G23)))</xm:f>
            <xm:f>Einstellungen!$A$9</xm:f>
            <x14:dxf>
              <font>
                <color theme="0"/>
              </font>
              <fill>
                <patternFill>
                  <bgColor theme="2" tint="-0.749961851863155"/>
                </patternFill>
              </fill>
            </x14:dxf>
          </x14:cfRule>
          <x14:cfRule type="containsText" priority="16540" operator="containsText" id="{B4A6062A-1241-4275-B506-288724A23230}">
            <xm:f>NOT(ISERROR(SEARCH(Einstellungen!$A$8,G23)))</xm:f>
            <xm:f>Einstellungen!$A$8</xm:f>
            <x14:dxf>
              <font>
                <color theme="1"/>
              </font>
              <fill>
                <patternFill>
                  <bgColor theme="7" tint="0.79998168889431442"/>
                </patternFill>
              </fill>
            </x14:dxf>
          </x14:cfRule>
          <x14:cfRule type="containsText" priority="16541" operator="containsText" id="{68F1A0BB-6003-4A0C-A3CF-B3CCA6C8D257}">
            <xm:f>NOT(ISERROR(SEARCH(Einstellungen!$A$17,G23)))</xm:f>
            <xm:f>Einstellungen!$A$17</xm:f>
            <x14:dxf>
              <font>
                <color theme="1"/>
              </font>
              <fill>
                <patternFill>
                  <bgColor theme="7" tint="-0.24994659260841701"/>
                </patternFill>
              </fill>
            </x14:dxf>
          </x14:cfRule>
          <x14:cfRule type="containsText" priority="16542" operator="containsText" id="{A9230E91-B6B0-491A-824D-73760626A1FF}">
            <xm:f>NOT(ISERROR(SEARCH(Einstellungen!$A$16,G23)))</xm:f>
            <xm:f>Einstellungen!$A$16</xm:f>
            <x14:dxf>
              <font>
                <color theme="1"/>
              </font>
              <fill>
                <patternFill>
                  <bgColor theme="7" tint="0.39994506668294322"/>
                </patternFill>
              </fill>
            </x14:dxf>
          </x14:cfRule>
          <x14:cfRule type="containsText" priority="16543" operator="containsText" id="{449AC303-A652-4CB0-9670-0B4063EC8CED}">
            <xm:f>NOT(ISERROR(SEARCH(Einstellungen!$A$15,G23)))</xm:f>
            <xm:f>Einstellungen!$A$15</xm:f>
            <x14:dxf>
              <font>
                <color theme="1"/>
              </font>
              <fill>
                <patternFill>
                  <bgColor theme="4" tint="0.39994506668294322"/>
                </patternFill>
              </fill>
            </x14:dxf>
          </x14:cfRule>
          <x14:cfRule type="containsText" priority="16544" operator="containsText" id="{EAB18E84-3A21-45CA-90EE-44CD5044B71C}">
            <xm:f>NOT(ISERROR(SEARCH(Einstellungen!$A$14,G23)))</xm:f>
            <xm:f>Einstellungen!$A$14</xm:f>
            <x14:dxf>
              <font>
                <color theme="1"/>
              </font>
              <fill>
                <patternFill>
                  <bgColor theme="0" tint="-0.24994659260841701"/>
                </patternFill>
              </fill>
            </x14:dxf>
          </x14:cfRule>
          <x14:cfRule type="containsText" priority="16545" operator="containsText" id="{3989915E-1ABA-48F2-BCC2-6D96D794A98A}">
            <xm:f>NOT(ISERROR(SEARCH(Einstellungen!$A$12,G23)))</xm:f>
            <xm:f>Einstellungen!$A$12</xm:f>
            <x14:dxf>
              <font>
                <color theme="1"/>
              </font>
              <fill>
                <patternFill>
                  <bgColor theme="0" tint="-0.24994659260841701"/>
                </patternFill>
              </fill>
            </x14:dxf>
          </x14:cfRule>
          <x14:cfRule type="containsText" priority="16546" operator="containsText" id="{0B78A994-4982-4592-A082-5A326168BFCD}">
            <xm:f>NOT(ISERROR(SEARCH(Einstellungen!$A$13,G23)))</xm:f>
            <xm:f>Einstellungen!$A$13</xm:f>
            <x14:dxf>
              <font>
                <color theme="1"/>
              </font>
              <fill>
                <patternFill>
                  <bgColor theme="0" tint="-0.24994659260841701"/>
                </patternFill>
              </fill>
            </x14:dxf>
          </x14:cfRule>
          <x14:cfRule type="containsText" priority="16547" operator="containsText" id="{045DFE99-1D7B-4674-9564-B03A6DC96ED6}">
            <xm:f>NOT(ISERROR(SEARCH(Einstellungen!$A$11,G23)))</xm:f>
            <xm:f>Einstellungen!$A$11</xm:f>
            <x14:dxf>
              <font>
                <color theme="1"/>
              </font>
              <fill>
                <patternFill>
                  <bgColor theme="5" tint="0.39994506668294322"/>
                </patternFill>
              </fill>
            </x14:dxf>
          </x14:cfRule>
          <x14:cfRule type="containsText" priority="16548" operator="containsText" id="{105CF4CE-9FFD-41AC-A127-96C895DBF047}">
            <xm:f>NOT(ISERROR(SEARCH(Einstellungen!$A$5,G23)))</xm:f>
            <xm:f>Einstellungen!$A$5</xm:f>
            <x14:dxf>
              <font>
                <color theme="0"/>
              </font>
              <fill>
                <patternFill>
                  <bgColor theme="2" tint="-0.749961851863155"/>
                </patternFill>
              </fill>
            </x14:dxf>
          </x14:cfRule>
          <x14:cfRule type="containsText" priority="16549" operator="containsText" id="{04218A0E-12CE-4067-9F64-E4DE6BEFF32A}">
            <xm:f>NOT(ISERROR(SEARCH(Einstellungen!$A$4,G23)))</xm:f>
            <xm:f>Einstellungen!$A$4</xm:f>
            <x14:dxf>
              <font>
                <color theme="1"/>
              </font>
              <fill>
                <patternFill>
                  <bgColor theme="0" tint="-0.24994659260841701"/>
                </patternFill>
              </fill>
            </x14:dxf>
          </x14:cfRule>
          <x14:cfRule type="containsText" priority="16550" operator="containsText" id="{889B1635-7E11-465C-A9B2-BC0B31D63E71}">
            <xm:f>NOT(ISERROR(SEARCH(Einstellungen!$A$3,G23)))</xm:f>
            <xm:f>Einstellungen!$A$3</xm:f>
            <x14:dxf>
              <font>
                <color theme="0"/>
              </font>
              <fill>
                <patternFill>
                  <bgColor rgb="FF002060"/>
                </patternFill>
              </fill>
            </x14:dxf>
          </x14:cfRule>
          <x14:cfRule type="containsText" priority="16551" operator="containsText" id="{E13316D6-2BFC-4006-A27F-C63966E9C3A6}">
            <xm:f>NOT(ISERROR(SEARCH(Einstellungen!$A$2,G23)))</xm:f>
            <xm:f>Einstellungen!$A$2</xm:f>
            <x14:dxf>
              <font>
                <color theme="0"/>
              </font>
              <fill>
                <patternFill>
                  <bgColor rgb="FF0070C0"/>
                </patternFill>
              </fill>
            </x14:dxf>
          </x14:cfRule>
          <x14:cfRule type="containsText" priority="16552" operator="containsText" id="{63DE927F-A8F5-4137-AC39-EAE48CABF847}">
            <xm:f>NOT(ISERROR(SEARCH(Einstellungen!$A$1,G23)))</xm:f>
            <xm:f>Einstellungen!$A$1</xm:f>
            <x14:dxf>
              <font>
                <color theme="0"/>
              </font>
              <fill>
                <patternFill>
                  <bgColor rgb="FF00B050"/>
                </patternFill>
              </fill>
            </x14:dxf>
          </x14:cfRule>
          <x14:cfRule type="expression" priority="16553" id="{EAF12BBB-6E57-4BC0-B28E-A0742D2B89A7}">
            <xm:f>IF(VLOOKUP(G$4,Einstellungen!$E$2:$E$15,1,FALSE)=G$4,TRUE,FALSE)</xm:f>
            <x14:dxf>
              <fill>
                <patternFill>
                  <bgColor rgb="FFFFE593"/>
                </patternFill>
              </fill>
            </x14:dxf>
          </x14:cfRule>
          <x14:cfRule type="expression" priority="16554" id="{59D1E698-5CD2-4042-B763-EE9BFFD054FC}">
            <xm:f>IF(VLOOKUP(G$7,Einstellungen!$E$2:$E$15,1,FALSE)=G$7,TRUE,FALSE)</xm:f>
            <x14:dxf>
              <fill>
                <patternFill>
                  <bgColor rgb="FFFFE593"/>
                </patternFill>
              </fill>
            </x14:dxf>
          </x14:cfRule>
          <x14:cfRule type="containsText" priority="16557" operator="containsText" id="{BFCAB47C-E636-4A53-8482-F4F9FB5A0F49}">
            <xm:f>NOT(ISERROR(SEARCH(Einstellungen!$A$5,G23)))</xm:f>
            <xm:f>Einstellungen!$A$5</xm:f>
            <x14:dxf>
              <font>
                <color theme="1"/>
              </font>
              <fill>
                <patternFill>
                  <bgColor theme="0" tint="-0.24994659260841701"/>
                </patternFill>
              </fill>
            </x14:dxf>
          </x14:cfRule>
          <x14:cfRule type="containsText" priority="16558" operator="containsText" id="{2A516775-DE43-4460-AF31-2A3CA9BF7770}">
            <xm:f>NOT(ISERROR(SEARCH(Einstellungen!$A$4,G23)))</xm:f>
            <xm:f>Einstellungen!$A$4</xm:f>
            <x14:dxf>
              <font>
                <color theme="1"/>
              </font>
              <fill>
                <patternFill>
                  <bgColor theme="0" tint="-0.24994659260841701"/>
                </patternFill>
              </fill>
            </x14:dxf>
          </x14:cfRule>
          <x14:cfRule type="containsText" priority="16559" operator="containsText" id="{1AAF4F3D-4FAB-445D-B6BA-837500ABBBDD}">
            <xm:f>NOT(ISERROR(SEARCH(Einstellungen!$A$3,G23)))</xm:f>
            <xm:f>Einstellungen!$A$3</xm:f>
            <x14:dxf>
              <font>
                <color theme="0"/>
              </font>
              <fill>
                <patternFill>
                  <bgColor rgb="FF002060"/>
                </patternFill>
              </fill>
            </x14:dxf>
          </x14:cfRule>
          <x14:cfRule type="containsText" priority="16560" operator="containsText" id="{83E2593B-859F-4109-9106-43028A0A2F8B}">
            <xm:f>NOT(ISERROR(SEARCH(Einstellungen!$A$2,G23)))</xm:f>
            <xm:f>Einstellungen!$A$2</xm:f>
            <x14:dxf>
              <font>
                <color theme="0"/>
              </font>
              <fill>
                <patternFill>
                  <bgColor rgb="FF0070C0"/>
                </patternFill>
              </fill>
            </x14:dxf>
          </x14:cfRule>
          <x14:cfRule type="containsText" priority="16561" operator="containsText" id="{36738644-3801-4981-89A9-B73D353D2843}">
            <xm:f>NOT(ISERROR(SEARCH(Einstellungen!$A$1,G23)))</xm:f>
            <xm:f>Einstellungen!$A$1</xm:f>
            <x14:dxf>
              <font>
                <color theme="0"/>
              </font>
              <fill>
                <patternFill>
                  <bgColor rgb="FF00B050"/>
                </patternFill>
              </fill>
            </x14:dxf>
          </x14:cfRule>
          <xm:sqref>G23:NI24</xm:sqref>
        </x14:conditionalFormatting>
        <x14:conditionalFormatting xmlns:xm="http://schemas.microsoft.com/office/excel/2006/main">
          <x14:cfRule type="expression" priority="16562" id="{A3576953-36FC-4B4D-99DF-8644EEE96212}">
            <xm:f>IF(VLOOKUP(G$4,Einstellungen!$E$2:$E$15,1,FALSE)=G$4,TRUE,FALSE)</xm:f>
            <x14:dxf>
              <fill>
                <patternFill>
                  <bgColor rgb="FFFFE593"/>
                </patternFill>
              </fill>
            </x14:dxf>
          </x14:cfRule>
          <x14:cfRule type="expression" priority="16563" id="{2982F2DA-8AE6-41A7-BD60-8DD17882BB0E}">
            <xm:f>IF(VLOOKUP(G$7,Einstellungen!$E$2:$E$15,1,FALSE)=G$7,TRUE,FALSE)</xm:f>
            <x14:dxf>
              <fill>
                <patternFill>
                  <bgColor rgb="FFFFE593"/>
                </patternFill>
              </fill>
            </x14:dxf>
          </x14:cfRule>
          <xm:sqref>G23:NI24 G8:NG11</xm:sqref>
        </x14:conditionalFormatting>
        <x14:conditionalFormatting xmlns:xm="http://schemas.microsoft.com/office/excel/2006/main">
          <x14:cfRule type="containsText" priority="16192" operator="containsText" id="{24C60E9D-F59C-4192-BC57-23F2BBDBC627}">
            <xm:f>NOT(ISERROR(SEARCH(Einstellungen!$A$20,G8)))</xm:f>
            <xm:f>Einstellungen!$A$20</xm:f>
            <x14:dxf>
              <font>
                <color theme="1"/>
              </font>
              <fill>
                <patternFill>
                  <bgColor theme="0" tint="-0.24994659260841701"/>
                </patternFill>
              </fill>
            </x14:dxf>
          </x14:cfRule>
          <x14:cfRule type="containsText" priority="16193" operator="containsText" id="{A306746E-208D-497A-8D4C-D1FDB7F20070}">
            <xm:f>NOT(ISERROR(SEARCH(Einstellungen!$A$7,G8)))</xm:f>
            <xm:f>Einstellungen!$A$7</xm:f>
            <x14:dxf>
              <font>
                <color theme="1"/>
              </font>
              <fill>
                <patternFill>
                  <bgColor theme="7" tint="0.79998168889431442"/>
                </patternFill>
              </fill>
            </x14:dxf>
          </x14:cfRule>
          <x14:cfRule type="containsText" priority="16194" operator="containsText" id="{A3275A86-0273-40DA-92CE-8BF15DEC6952}">
            <xm:f>NOT(ISERROR(SEARCH(Einstellungen!$A$9,G8)))</xm:f>
            <xm:f>Einstellungen!$A$9</xm:f>
            <x14:dxf>
              <font>
                <color theme="0"/>
              </font>
              <fill>
                <patternFill>
                  <bgColor theme="2" tint="-0.749961851863155"/>
                </patternFill>
              </fill>
            </x14:dxf>
          </x14:cfRule>
          <x14:cfRule type="containsText" priority="16195" operator="containsText" id="{955FA150-37CF-434A-AC5A-B9E820C4CF8D}">
            <xm:f>NOT(ISERROR(SEARCH(Einstellungen!$A$8,G8)))</xm:f>
            <xm:f>Einstellungen!$A$8</xm:f>
            <x14:dxf>
              <font>
                <color theme="1"/>
              </font>
              <fill>
                <patternFill>
                  <bgColor theme="7" tint="0.79998168889431442"/>
                </patternFill>
              </fill>
            </x14:dxf>
          </x14:cfRule>
          <x14:cfRule type="containsText" priority="16196" operator="containsText" id="{B3A8EBCD-75F0-4409-8F63-09BFB3E084D9}">
            <xm:f>NOT(ISERROR(SEARCH(Einstellungen!$A$17,G8)))</xm:f>
            <xm:f>Einstellungen!$A$17</xm:f>
            <x14:dxf>
              <font>
                <color theme="1"/>
              </font>
              <fill>
                <patternFill>
                  <bgColor theme="7" tint="-0.24994659260841701"/>
                </patternFill>
              </fill>
            </x14:dxf>
          </x14:cfRule>
          <x14:cfRule type="containsText" priority="16197" operator="containsText" id="{EA3E640A-9A83-4C7F-8CCA-588FD30FD3E0}">
            <xm:f>NOT(ISERROR(SEARCH(Einstellungen!$A$16,G8)))</xm:f>
            <xm:f>Einstellungen!$A$16</xm:f>
            <x14:dxf>
              <font>
                <color theme="1"/>
              </font>
              <fill>
                <patternFill>
                  <bgColor theme="7" tint="0.39994506668294322"/>
                </patternFill>
              </fill>
            </x14:dxf>
          </x14:cfRule>
          <x14:cfRule type="containsText" priority="16198" operator="containsText" id="{4E07D00D-BDAD-4742-8817-CAF7FFDE34E5}">
            <xm:f>NOT(ISERROR(SEARCH(Einstellungen!$A$15,G8)))</xm:f>
            <xm:f>Einstellungen!$A$15</xm:f>
            <x14:dxf>
              <font>
                <color theme="1"/>
              </font>
              <fill>
                <patternFill>
                  <bgColor theme="4" tint="0.39994506668294322"/>
                </patternFill>
              </fill>
            </x14:dxf>
          </x14:cfRule>
          <x14:cfRule type="containsText" priority="16199" operator="containsText" id="{B5142142-A3C4-472F-9B3E-3E890E952BA0}">
            <xm:f>NOT(ISERROR(SEARCH(Einstellungen!$A$14,G8)))</xm:f>
            <xm:f>Einstellungen!$A$14</xm:f>
            <x14:dxf>
              <font>
                <color theme="1"/>
              </font>
              <fill>
                <patternFill>
                  <bgColor theme="0" tint="-0.24994659260841701"/>
                </patternFill>
              </fill>
            </x14:dxf>
          </x14:cfRule>
          <x14:cfRule type="containsText" priority="16200" operator="containsText" id="{BB386F59-77AB-4491-A3DA-0396D41FB7BE}">
            <xm:f>NOT(ISERROR(SEARCH(Einstellungen!$A$12,G8)))</xm:f>
            <xm:f>Einstellungen!$A$12</xm:f>
            <x14:dxf>
              <font>
                <color theme="1"/>
              </font>
              <fill>
                <patternFill>
                  <bgColor theme="0" tint="-0.24994659260841701"/>
                </patternFill>
              </fill>
            </x14:dxf>
          </x14:cfRule>
          <x14:cfRule type="containsText" priority="16201" operator="containsText" id="{05972CAF-83EA-4AD3-8735-21B386CA7C7E}">
            <xm:f>NOT(ISERROR(SEARCH(Einstellungen!$A$13,G8)))</xm:f>
            <xm:f>Einstellungen!$A$13</xm:f>
            <x14:dxf>
              <font>
                <color theme="1"/>
              </font>
              <fill>
                <patternFill>
                  <bgColor theme="0" tint="-0.24994659260841701"/>
                </patternFill>
              </fill>
            </x14:dxf>
          </x14:cfRule>
          <x14:cfRule type="containsText" priority="16202" operator="containsText" id="{255860C4-95DF-4A0E-9B6D-F9497FD1B4FA}">
            <xm:f>NOT(ISERROR(SEARCH(Einstellungen!$A$11,G8)))</xm:f>
            <xm:f>Einstellungen!$A$11</xm:f>
            <x14:dxf>
              <font>
                <color theme="1"/>
              </font>
              <fill>
                <patternFill>
                  <bgColor theme="5" tint="0.39994506668294322"/>
                </patternFill>
              </fill>
            </x14:dxf>
          </x14:cfRule>
          <x14:cfRule type="containsText" priority="16203" operator="containsText" id="{85376611-507E-4D00-BC7D-CCFC89EFFCC7}">
            <xm:f>NOT(ISERROR(SEARCH(Einstellungen!$A$5,G8)))</xm:f>
            <xm:f>Einstellungen!$A$5</xm:f>
            <x14:dxf>
              <font>
                <color theme="0"/>
              </font>
              <fill>
                <patternFill>
                  <bgColor theme="2" tint="-0.749961851863155"/>
                </patternFill>
              </fill>
            </x14:dxf>
          </x14:cfRule>
          <x14:cfRule type="containsText" priority="16204" operator="containsText" id="{F2BD6998-1F99-4533-AEF7-70EE4254B6D3}">
            <xm:f>NOT(ISERROR(SEARCH(Einstellungen!$A$4,G8)))</xm:f>
            <xm:f>Einstellungen!$A$4</xm:f>
            <x14:dxf>
              <font>
                <color theme="1"/>
              </font>
              <fill>
                <patternFill>
                  <bgColor theme="0" tint="-0.24994659260841701"/>
                </patternFill>
              </fill>
            </x14:dxf>
          </x14:cfRule>
          <x14:cfRule type="containsText" priority="16205" operator="containsText" id="{3A7E78AA-CDEB-40DC-AB2B-B526854AFC73}">
            <xm:f>NOT(ISERROR(SEARCH(Einstellungen!$A$3,G8)))</xm:f>
            <xm:f>Einstellungen!$A$3</xm:f>
            <x14:dxf>
              <font>
                <color theme="0"/>
              </font>
              <fill>
                <patternFill>
                  <bgColor rgb="FF002060"/>
                </patternFill>
              </fill>
            </x14:dxf>
          </x14:cfRule>
          <x14:cfRule type="containsText" priority="16206" operator="containsText" id="{CB287F12-9FAB-42CD-A57D-9CD7D09325E4}">
            <xm:f>NOT(ISERROR(SEARCH(Einstellungen!$A$2,G8)))</xm:f>
            <xm:f>Einstellungen!$A$2</xm:f>
            <x14:dxf>
              <font>
                <color theme="0"/>
              </font>
              <fill>
                <patternFill>
                  <bgColor rgb="FF0070C0"/>
                </patternFill>
              </fill>
            </x14:dxf>
          </x14:cfRule>
          <x14:cfRule type="containsText" priority="16207" operator="containsText" id="{EEE1ADE6-AEA4-4B12-A337-D63F0D96C3A4}">
            <xm:f>NOT(ISERROR(SEARCH(Einstellungen!$A$1,G8)))</xm:f>
            <xm:f>Einstellungen!$A$1</xm:f>
            <x14:dxf>
              <font>
                <color theme="0"/>
              </font>
              <fill>
                <patternFill>
                  <bgColor rgb="FF00B050"/>
                </patternFill>
              </fill>
            </x14:dxf>
          </x14:cfRule>
          <x14:cfRule type="expression" priority="16208" id="{0303764D-9A45-48D0-A16F-E446E9E2D449}">
            <xm:f>IF(VLOOKUP(G$4,Einstellungen!$E$2:$E$15,1,FALSE)=G$4,TRUE,FALSE)</xm:f>
            <x14:dxf>
              <fill>
                <patternFill>
                  <bgColor rgb="FFFFE593"/>
                </patternFill>
              </fill>
            </x14:dxf>
          </x14:cfRule>
          <x14:cfRule type="expression" priority="16209" id="{B6AF452D-DEED-417C-A323-E2735BB8EB40}">
            <xm:f>IF(VLOOKUP(G$7,Einstellungen!$E$2:$E$15,1,FALSE)=G$7,TRUE,FALSE)</xm:f>
            <x14:dxf>
              <fill>
                <patternFill>
                  <bgColor rgb="FFFFE593"/>
                </patternFill>
              </fill>
            </x14:dxf>
          </x14:cfRule>
          <x14:cfRule type="containsText" priority="16212" operator="containsText" id="{B77366FA-3D5C-45C9-98ED-3B43E0318E2E}">
            <xm:f>NOT(ISERROR(SEARCH(Einstellungen!$A$5,G8)))</xm:f>
            <xm:f>Einstellungen!$A$5</xm:f>
            <x14:dxf>
              <font>
                <color theme="1"/>
              </font>
              <fill>
                <patternFill>
                  <bgColor theme="0" tint="-0.24994659260841701"/>
                </patternFill>
              </fill>
            </x14:dxf>
          </x14:cfRule>
          <x14:cfRule type="containsText" priority="16213" operator="containsText" id="{B78C7A31-1E58-4F7A-B8CD-1949D4F78DC8}">
            <xm:f>NOT(ISERROR(SEARCH(Einstellungen!$A$4,G8)))</xm:f>
            <xm:f>Einstellungen!$A$4</xm:f>
            <x14:dxf>
              <font>
                <color theme="1"/>
              </font>
              <fill>
                <patternFill>
                  <bgColor theme="0" tint="-0.24994659260841701"/>
                </patternFill>
              </fill>
            </x14:dxf>
          </x14:cfRule>
          <x14:cfRule type="containsText" priority="16214" operator="containsText" id="{98AD06B0-5C70-44B2-9787-AD7F54627FFA}">
            <xm:f>NOT(ISERROR(SEARCH(Einstellungen!$A$3,G8)))</xm:f>
            <xm:f>Einstellungen!$A$3</xm:f>
            <x14:dxf>
              <font>
                <color theme="0"/>
              </font>
              <fill>
                <patternFill>
                  <bgColor rgb="FF002060"/>
                </patternFill>
              </fill>
            </x14:dxf>
          </x14:cfRule>
          <x14:cfRule type="containsText" priority="16215" operator="containsText" id="{715D5323-6A61-4B9E-B05A-CEF6BC8E1E67}">
            <xm:f>NOT(ISERROR(SEARCH(Einstellungen!$A$2,G8)))</xm:f>
            <xm:f>Einstellungen!$A$2</xm:f>
            <x14:dxf>
              <font>
                <color theme="0"/>
              </font>
              <fill>
                <patternFill>
                  <bgColor rgb="FF0070C0"/>
                </patternFill>
              </fill>
            </x14:dxf>
          </x14:cfRule>
          <x14:cfRule type="containsText" priority="16216" operator="containsText" id="{07BA2D6E-EC81-44B5-90D8-108ABCE92CFA}">
            <xm:f>NOT(ISERROR(SEARCH(Einstellungen!$A$1,G8)))</xm:f>
            <xm:f>Einstellungen!$A$1</xm:f>
            <x14:dxf>
              <font>
                <color theme="0"/>
              </font>
              <fill>
                <patternFill>
                  <bgColor rgb="FF00B050"/>
                </patternFill>
              </fill>
            </x14:dxf>
          </x14:cfRule>
          <x14:cfRule type="expression" priority="16217" id="{F1FE9D78-354F-4C60-9FDC-AD588317A213}">
            <xm:f>IF(VLOOKUP(G$4,Einstellungen!$E$2:$E$15,1,FALSE)=G$4,TRUE,FALSE)</xm:f>
            <x14:dxf>
              <fill>
                <patternFill>
                  <bgColor rgb="FFFFE593"/>
                </patternFill>
              </fill>
            </x14:dxf>
          </x14:cfRule>
          <x14:cfRule type="expression" priority="16218" id="{A1337899-602D-4894-88B4-E681C6D4D51B}">
            <xm:f>IF(VLOOKUP(G$7,Einstellungen!$E$2:$E$15,1,FALSE)=G$7,TRUE,FALSE)</xm:f>
            <x14:dxf>
              <fill>
                <patternFill>
                  <bgColor rgb="FFFFE593"/>
                </patternFill>
              </fill>
            </x14:dxf>
          </x14:cfRule>
          <x14:cfRule type="containsText" priority="16221" operator="containsText" id="{6657F08A-E348-4B89-A4B4-9EDB333DC359}">
            <xm:f>NOT(ISERROR(SEARCH(Einstellungen!$A$7,G8)))</xm:f>
            <xm:f>Einstellungen!$A$7</xm:f>
            <x14:dxf>
              <font>
                <color theme="1"/>
              </font>
              <fill>
                <patternFill>
                  <bgColor theme="7" tint="0.79998168889431442"/>
                </patternFill>
              </fill>
            </x14:dxf>
          </x14:cfRule>
          <x14:cfRule type="containsText" priority="16222" operator="containsText" id="{CA265CFE-7174-40EC-80D4-B6DDA589DD41}">
            <xm:f>NOT(ISERROR(SEARCH(Einstellungen!$A$9,G8)))</xm:f>
            <xm:f>Einstellungen!$A$9</xm:f>
            <x14:dxf>
              <font>
                <color theme="0"/>
              </font>
              <fill>
                <patternFill>
                  <bgColor theme="2" tint="-0.749961851863155"/>
                </patternFill>
              </fill>
            </x14:dxf>
          </x14:cfRule>
          <x14:cfRule type="containsText" priority="16223" operator="containsText" id="{20396ADE-93D1-4588-9F14-199CDC99D61B}">
            <xm:f>NOT(ISERROR(SEARCH(Einstellungen!$A$8,G8)))</xm:f>
            <xm:f>Einstellungen!$A$8</xm:f>
            <x14:dxf>
              <font>
                <color theme="1"/>
              </font>
              <fill>
                <patternFill>
                  <bgColor theme="7" tint="0.79998168889431442"/>
                </patternFill>
              </fill>
            </x14:dxf>
          </x14:cfRule>
          <x14:cfRule type="containsText" priority="16224" operator="containsText" id="{1A3BD499-F066-412C-B702-27DE245915D4}">
            <xm:f>NOT(ISERROR(SEARCH(Einstellungen!$A$17,G8)))</xm:f>
            <xm:f>Einstellungen!$A$17</xm:f>
            <x14:dxf>
              <font>
                <color theme="1"/>
              </font>
              <fill>
                <patternFill>
                  <bgColor theme="7" tint="-0.24994659260841701"/>
                </patternFill>
              </fill>
            </x14:dxf>
          </x14:cfRule>
          <x14:cfRule type="containsText" priority="16225" operator="containsText" id="{C96B23DB-5940-4FA7-A8CD-C6DA18387A08}">
            <xm:f>NOT(ISERROR(SEARCH(Einstellungen!$A$16,G8)))</xm:f>
            <xm:f>Einstellungen!$A$16</xm:f>
            <x14:dxf>
              <font>
                <color theme="1"/>
              </font>
              <fill>
                <patternFill>
                  <bgColor theme="7" tint="0.39994506668294322"/>
                </patternFill>
              </fill>
            </x14:dxf>
          </x14:cfRule>
          <x14:cfRule type="containsText" priority="16226" operator="containsText" id="{9AFC3CCA-4470-436D-B595-117486B9E2D0}">
            <xm:f>NOT(ISERROR(SEARCH(Einstellungen!$A$15,G8)))</xm:f>
            <xm:f>Einstellungen!$A$15</xm:f>
            <x14:dxf>
              <font>
                <color theme="1"/>
              </font>
              <fill>
                <patternFill>
                  <bgColor theme="4" tint="0.39994506668294322"/>
                </patternFill>
              </fill>
            </x14:dxf>
          </x14:cfRule>
          <x14:cfRule type="containsText" priority="16227" operator="containsText" id="{FA89B7A8-7778-40B7-8BB6-C1D5FE0E486E}">
            <xm:f>NOT(ISERROR(SEARCH(Einstellungen!$A$14,G8)))</xm:f>
            <xm:f>Einstellungen!$A$14</xm:f>
            <x14:dxf>
              <font>
                <color theme="1"/>
              </font>
              <fill>
                <patternFill>
                  <bgColor theme="0" tint="-0.24994659260841701"/>
                </patternFill>
              </fill>
            </x14:dxf>
          </x14:cfRule>
          <x14:cfRule type="containsText" priority="16228" operator="containsText" id="{97DE99F2-D230-4979-BCEF-1C3F12E144B5}">
            <xm:f>NOT(ISERROR(SEARCH(Einstellungen!$A$12,G8)))</xm:f>
            <xm:f>Einstellungen!$A$12</xm:f>
            <x14:dxf>
              <font>
                <color theme="1"/>
              </font>
              <fill>
                <patternFill>
                  <bgColor theme="0" tint="-0.24994659260841701"/>
                </patternFill>
              </fill>
            </x14:dxf>
          </x14:cfRule>
          <x14:cfRule type="containsText" priority="16229" operator="containsText" id="{FBFD5FF9-C6C9-4713-90A7-AB6C4D4FE8B4}">
            <xm:f>NOT(ISERROR(SEARCH(Einstellungen!$A$13,G8)))</xm:f>
            <xm:f>Einstellungen!$A$13</xm:f>
            <x14:dxf>
              <font>
                <color theme="1"/>
              </font>
              <fill>
                <patternFill>
                  <bgColor theme="0" tint="-0.24994659260841701"/>
                </patternFill>
              </fill>
            </x14:dxf>
          </x14:cfRule>
          <x14:cfRule type="containsText" priority="16230" operator="containsText" id="{B974EC9E-D819-4AC5-BD9F-A69F64882020}">
            <xm:f>NOT(ISERROR(SEARCH(Einstellungen!$A$11,G8)))</xm:f>
            <xm:f>Einstellungen!$A$11</xm:f>
            <x14:dxf>
              <font>
                <color theme="1"/>
              </font>
              <fill>
                <patternFill>
                  <bgColor theme="5" tint="0.39994506668294322"/>
                </patternFill>
              </fill>
            </x14:dxf>
          </x14:cfRule>
          <x14:cfRule type="containsText" priority="16231" operator="containsText" id="{A13543CE-CB83-496E-B5B5-053410241667}">
            <xm:f>NOT(ISERROR(SEARCH(Einstellungen!$A$5,G8)))</xm:f>
            <xm:f>Einstellungen!$A$5</xm:f>
            <x14:dxf>
              <font>
                <color theme="0"/>
              </font>
              <fill>
                <patternFill>
                  <bgColor theme="2" tint="-0.749961851863155"/>
                </patternFill>
              </fill>
            </x14:dxf>
          </x14:cfRule>
          <x14:cfRule type="containsText" priority="16232" operator="containsText" id="{EC6CCBBB-E071-4947-9E25-02CC828DBF4F}">
            <xm:f>NOT(ISERROR(SEARCH(Einstellungen!$A$4,G8)))</xm:f>
            <xm:f>Einstellungen!$A$4</xm:f>
            <x14:dxf>
              <font>
                <color theme="1"/>
              </font>
              <fill>
                <patternFill>
                  <bgColor theme="0" tint="-0.24994659260841701"/>
                </patternFill>
              </fill>
            </x14:dxf>
          </x14:cfRule>
          <x14:cfRule type="containsText" priority="16233" operator="containsText" id="{94454D1F-B972-4304-8482-08F977647A6D}">
            <xm:f>NOT(ISERROR(SEARCH(Einstellungen!$A$3,G8)))</xm:f>
            <xm:f>Einstellungen!$A$3</xm:f>
            <x14:dxf>
              <font>
                <color theme="0"/>
              </font>
              <fill>
                <patternFill>
                  <bgColor rgb="FF002060"/>
                </patternFill>
              </fill>
            </x14:dxf>
          </x14:cfRule>
          <x14:cfRule type="containsText" priority="16234" operator="containsText" id="{71ADB358-3FF5-43F3-9CE1-7C9F1FF865A5}">
            <xm:f>NOT(ISERROR(SEARCH(Einstellungen!$A$2,G8)))</xm:f>
            <xm:f>Einstellungen!$A$2</xm:f>
            <x14:dxf>
              <font>
                <color theme="0"/>
              </font>
              <fill>
                <patternFill>
                  <bgColor rgb="FF0070C0"/>
                </patternFill>
              </fill>
            </x14:dxf>
          </x14:cfRule>
          <x14:cfRule type="containsText" priority="16235" operator="containsText" id="{2F81FAD1-BFBC-4882-994C-632B2359F126}">
            <xm:f>NOT(ISERROR(SEARCH(Einstellungen!$A$1,G8)))</xm:f>
            <xm:f>Einstellungen!$A$1</xm:f>
            <x14:dxf>
              <font>
                <color theme="0"/>
              </font>
              <fill>
                <patternFill>
                  <bgColor rgb="FF00B050"/>
                </patternFill>
              </fill>
            </x14:dxf>
          </x14:cfRule>
          <x14:cfRule type="expression" priority="16236" id="{E631DB6D-6D8D-4155-AD5D-E8DE1CFB395F}">
            <xm:f>IF(VLOOKUP(G$4,Einstellungen!$E$2:$E$15,1,FALSE)=G$4,TRUE,FALSE)</xm:f>
            <x14:dxf>
              <fill>
                <patternFill>
                  <bgColor rgb="FFFFE593"/>
                </patternFill>
              </fill>
            </x14:dxf>
          </x14:cfRule>
          <x14:cfRule type="expression" priority="16237" id="{35E6CCEC-F133-478D-83E5-BB02BAC05875}">
            <xm:f>IF(VLOOKUP(G$7,Einstellungen!$E$2:$E$15,1,FALSE)=G$7,TRUE,FALSE)</xm:f>
            <x14:dxf>
              <fill>
                <patternFill>
                  <bgColor rgb="FFFFE593"/>
                </patternFill>
              </fill>
            </x14:dxf>
          </x14:cfRule>
          <x14:cfRule type="containsText" priority="16240" operator="containsText" id="{E0801201-98E6-4021-A746-679193FD3063}">
            <xm:f>NOT(ISERROR(SEARCH(Einstellungen!$A$5,G8)))</xm:f>
            <xm:f>Einstellungen!$A$5</xm:f>
            <x14:dxf>
              <font>
                <color theme="1"/>
              </font>
              <fill>
                <patternFill>
                  <bgColor theme="0" tint="-0.24994659260841701"/>
                </patternFill>
              </fill>
            </x14:dxf>
          </x14:cfRule>
          <x14:cfRule type="containsText" priority="16242" operator="containsText" id="{0354C558-B5D1-433B-88BF-7B4A2C2DF0AD}">
            <xm:f>NOT(ISERROR(SEARCH(Einstellungen!$A$3,G8)))</xm:f>
            <xm:f>Einstellungen!$A$3</xm:f>
            <x14:dxf>
              <font>
                <color theme="0"/>
              </font>
              <fill>
                <patternFill>
                  <bgColor rgb="FF002060"/>
                </patternFill>
              </fill>
            </x14:dxf>
          </x14:cfRule>
          <x14:cfRule type="containsText" priority="16243" operator="containsText" id="{E522E099-DF24-45FD-9B87-E36205613172}">
            <xm:f>NOT(ISERROR(SEARCH(Einstellungen!$A$2,G8)))</xm:f>
            <xm:f>Einstellungen!$A$2</xm:f>
            <x14:dxf>
              <font>
                <color theme="0"/>
              </font>
              <fill>
                <patternFill>
                  <bgColor rgb="FF0070C0"/>
                </patternFill>
              </fill>
            </x14:dxf>
          </x14:cfRule>
          <x14:cfRule type="containsText" priority="16244" operator="containsText" id="{FACA4153-3974-4B13-9993-F0FF6FDCFF0D}">
            <xm:f>NOT(ISERROR(SEARCH(Einstellungen!$A$1,G8)))</xm:f>
            <xm:f>Einstellungen!$A$1</xm:f>
            <x14:dxf>
              <font>
                <color theme="0"/>
              </font>
              <fill>
                <patternFill>
                  <bgColor rgb="FF00B050"/>
                </patternFill>
              </fill>
            </x14:dxf>
          </x14:cfRule>
          <x14:cfRule type="expression" priority="16245" id="{4FA30DA4-B0E3-4375-8319-8FFDCF9F9405}">
            <xm:f>IF(VLOOKUP(G$4,Einstellungen!$E$2:$E$15,1,FALSE)=G$4,TRUE,FALSE)</xm:f>
            <x14:dxf>
              <fill>
                <patternFill>
                  <bgColor rgb="FFFFE593"/>
                </patternFill>
              </fill>
            </x14:dxf>
          </x14:cfRule>
          <x14:cfRule type="expression" priority="16246" id="{CBAD3BA7-C3FC-49F7-8F2D-B78E51CC2A27}">
            <xm:f>IF(VLOOKUP(G$7,Einstellungen!$E$2:$E$15,1,FALSE)=G$7,TRUE,FALSE)</xm:f>
            <x14:dxf>
              <fill>
                <patternFill>
                  <bgColor rgb="FFFFE593"/>
                </patternFill>
              </fill>
            </x14:dxf>
          </x14:cfRule>
          <x14:cfRule type="containsText" priority="16249" operator="containsText" id="{3B34FB02-78C3-4EA9-B3CF-E439B1D3B294}">
            <xm:f>NOT(ISERROR(SEARCH(Einstellungen!$A$7,G8)))</xm:f>
            <xm:f>Einstellungen!$A$7</xm:f>
            <x14:dxf>
              <font>
                <color theme="1"/>
              </font>
              <fill>
                <patternFill>
                  <bgColor theme="7" tint="0.79998168889431442"/>
                </patternFill>
              </fill>
            </x14:dxf>
          </x14:cfRule>
          <x14:cfRule type="containsText" priority="16250" operator="containsText" id="{C66E691D-CC9D-4666-AE2A-176E0E9C0A81}">
            <xm:f>NOT(ISERROR(SEARCH(Einstellungen!$A$9,G8)))</xm:f>
            <xm:f>Einstellungen!$A$9</xm:f>
            <x14:dxf>
              <font>
                <color theme="0"/>
              </font>
              <fill>
                <patternFill>
                  <bgColor theme="2" tint="-0.749961851863155"/>
                </patternFill>
              </fill>
            </x14:dxf>
          </x14:cfRule>
          <x14:cfRule type="containsText" priority="16251" operator="containsText" id="{B84EBA5F-681F-4BA1-A56D-5EF5A4AA582F}">
            <xm:f>NOT(ISERROR(SEARCH(Einstellungen!$A$8,G8)))</xm:f>
            <xm:f>Einstellungen!$A$8</xm:f>
            <x14:dxf>
              <font>
                <color theme="1"/>
              </font>
              <fill>
                <patternFill>
                  <bgColor theme="7" tint="0.79998168889431442"/>
                </patternFill>
              </fill>
            </x14:dxf>
          </x14:cfRule>
          <x14:cfRule type="containsText" priority="16252" operator="containsText" id="{7CCF2E35-F8DA-45A2-AFFF-4BD5792FAE48}">
            <xm:f>NOT(ISERROR(SEARCH(Einstellungen!$A$17,G8)))</xm:f>
            <xm:f>Einstellungen!$A$17</xm:f>
            <x14:dxf>
              <font>
                <color theme="1"/>
              </font>
              <fill>
                <patternFill>
                  <bgColor theme="7" tint="-0.24994659260841701"/>
                </patternFill>
              </fill>
            </x14:dxf>
          </x14:cfRule>
          <x14:cfRule type="containsText" priority="16253" operator="containsText" id="{BB8DDA97-22DC-4974-9C99-80CD9D8B33BD}">
            <xm:f>NOT(ISERROR(SEARCH(Einstellungen!$A$16,G8)))</xm:f>
            <xm:f>Einstellungen!$A$16</xm:f>
            <x14:dxf>
              <font>
                <color theme="1"/>
              </font>
              <fill>
                <patternFill>
                  <bgColor theme="7" tint="0.39994506668294322"/>
                </patternFill>
              </fill>
            </x14:dxf>
          </x14:cfRule>
          <x14:cfRule type="containsText" priority="16254" operator="containsText" id="{09C83BB3-DFB8-42CF-84BB-992E54822368}">
            <xm:f>NOT(ISERROR(SEARCH(Einstellungen!$A$15,G8)))</xm:f>
            <xm:f>Einstellungen!$A$15</xm:f>
            <x14:dxf>
              <font>
                <color theme="1"/>
              </font>
              <fill>
                <patternFill>
                  <bgColor theme="4" tint="0.39994506668294322"/>
                </patternFill>
              </fill>
            </x14:dxf>
          </x14:cfRule>
          <x14:cfRule type="containsText" priority="16255" operator="containsText" id="{606AAC07-6ECF-44C2-BD79-E4765066E6B3}">
            <xm:f>NOT(ISERROR(SEARCH(Einstellungen!$A$14,G8)))</xm:f>
            <xm:f>Einstellungen!$A$14</xm:f>
            <x14:dxf>
              <font>
                <color theme="1"/>
              </font>
              <fill>
                <patternFill>
                  <bgColor theme="0" tint="-0.24994659260841701"/>
                </patternFill>
              </fill>
            </x14:dxf>
          </x14:cfRule>
          <x14:cfRule type="containsText" priority="16256" operator="containsText" id="{A4C5860C-EB65-4659-B360-60ACCE8017D7}">
            <xm:f>NOT(ISERROR(SEARCH(Einstellungen!$A$12,G8)))</xm:f>
            <xm:f>Einstellungen!$A$12</xm:f>
            <x14:dxf>
              <font>
                <color theme="1"/>
              </font>
              <fill>
                <patternFill>
                  <bgColor theme="0" tint="-0.24994659260841701"/>
                </patternFill>
              </fill>
            </x14:dxf>
          </x14:cfRule>
          <x14:cfRule type="containsText" priority="16257" operator="containsText" id="{D9E297F0-AACA-4CF9-AD0D-F698AB005AB1}">
            <xm:f>NOT(ISERROR(SEARCH(Einstellungen!$A$13,G8)))</xm:f>
            <xm:f>Einstellungen!$A$13</xm:f>
            <x14:dxf>
              <font>
                <color theme="1"/>
              </font>
              <fill>
                <patternFill>
                  <bgColor theme="0" tint="-0.24994659260841701"/>
                </patternFill>
              </fill>
            </x14:dxf>
          </x14:cfRule>
          <x14:cfRule type="containsText" priority="16258" operator="containsText" id="{8238715E-735E-486C-BD97-3AFDD75CD6D7}">
            <xm:f>NOT(ISERROR(SEARCH(Einstellungen!$A$11,G8)))</xm:f>
            <xm:f>Einstellungen!$A$11</xm:f>
            <x14:dxf>
              <font>
                <color theme="1"/>
              </font>
              <fill>
                <patternFill>
                  <bgColor theme="5" tint="0.39994506668294322"/>
                </patternFill>
              </fill>
            </x14:dxf>
          </x14:cfRule>
          <x14:cfRule type="containsText" priority="16259" operator="containsText" id="{CFB5DED4-39EB-43DD-912E-F2B54C449353}">
            <xm:f>NOT(ISERROR(SEARCH(Einstellungen!$A$5,G8)))</xm:f>
            <xm:f>Einstellungen!$A$5</xm:f>
            <x14:dxf>
              <font>
                <color theme="0"/>
              </font>
              <fill>
                <patternFill>
                  <bgColor theme="2" tint="-0.749961851863155"/>
                </patternFill>
              </fill>
            </x14:dxf>
          </x14:cfRule>
          <x14:cfRule type="containsText" priority="16260" operator="containsText" id="{CB94ACD4-2BCF-428D-B1E2-220F4A06CEC4}">
            <xm:f>NOT(ISERROR(SEARCH(Einstellungen!$A$4,G8)))</xm:f>
            <xm:f>Einstellungen!$A$4</xm:f>
            <x14:dxf>
              <font>
                <color theme="1"/>
              </font>
              <fill>
                <patternFill>
                  <bgColor theme="0" tint="-0.24994659260841701"/>
                </patternFill>
              </fill>
            </x14:dxf>
          </x14:cfRule>
          <x14:cfRule type="containsText" priority="16261" operator="containsText" id="{0A1AB4CB-D70A-401E-97F0-7A905BCD359E}">
            <xm:f>NOT(ISERROR(SEARCH(Einstellungen!$A$3,G8)))</xm:f>
            <xm:f>Einstellungen!$A$3</xm:f>
            <x14:dxf>
              <font>
                <color theme="0"/>
              </font>
              <fill>
                <patternFill>
                  <bgColor rgb="FF002060"/>
                </patternFill>
              </fill>
            </x14:dxf>
          </x14:cfRule>
          <x14:cfRule type="containsText" priority="16262" operator="containsText" id="{00A70439-8CFE-4987-8012-102AC8093174}">
            <xm:f>NOT(ISERROR(SEARCH(Einstellungen!$A$2,G8)))</xm:f>
            <xm:f>Einstellungen!$A$2</xm:f>
            <x14:dxf>
              <font>
                <color theme="0"/>
              </font>
              <fill>
                <patternFill>
                  <bgColor rgb="FF0070C0"/>
                </patternFill>
              </fill>
            </x14:dxf>
          </x14:cfRule>
          <x14:cfRule type="containsText" priority="16263" operator="containsText" id="{56EC497E-42FB-4790-9F27-3A18A386B6F0}">
            <xm:f>NOT(ISERROR(SEARCH(Einstellungen!$A$1,G8)))</xm:f>
            <xm:f>Einstellungen!$A$1</xm:f>
            <x14:dxf>
              <font>
                <color theme="0"/>
              </font>
              <fill>
                <patternFill>
                  <bgColor rgb="FF00B050"/>
                </patternFill>
              </fill>
            </x14:dxf>
          </x14:cfRule>
          <x14:cfRule type="expression" priority="16264" id="{FA1F653E-7E19-47B6-A8CE-A0020048B017}">
            <xm:f>IF(VLOOKUP(G$4,Einstellungen!$E$2:$E$15,1,FALSE)=G$4,TRUE,FALSE)</xm:f>
            <x14:dxf>
              <fill>
                <patternFill>
                  <bgColor rgb="FFFFE593"/>
                </patternFill>
              </fill>
            </x14:dxf>
          </x14:cfRule>
          <x14:cfRule type="expression" priority="16265" id="{F7A72A2C-CFDB-40B8-BE97-41542B349F22}">
            <xm:f>IF(VLOOKUP(G$7,Einstellungen!$E$2:$E$15,1,FALSE)=G$7,TRUE,FALSE)</xm:f>
            <x14:dxf>
              <fill>
                <patternFill>
                  <bgColor rgb="FFFFE593"/>
                </patternFill>
              </fill>
            </x14:dxf>
          </x14:cfRule>
          <x14:cfRule type="containsText" priority="16268" operator="containsText" id="{75F6CF89-8CC1-4682-A666-1F130E9DE33E}">
            <xm:f>NOT(ISERROR(SEARCH(Einstellungen!$A$5,G8)))</xm:f>
            <xm:f>Einstellungen!$A$5</xm:f>
            <x14:dxf>
              <font>
                <color theme="1"/>
              </font>
              <fill>
                <patternFill>
                  <bgColor theme="0" tint="-0.24994659260841701"/>
                </patternFill>
              </fill>
            </x14:dxf>
          </x14:cfRule>
          <x14:cfRule type="containsText" priority="16269" operator="containsText" id="{8B9FA3A1-D30E-4352-8B2C-BE7F3271ED8C}">
            <xm:f>NOT(ISERROR(SEARCH(Einstellungen!$A$4,G8)))</xm:f>
            <xm:f>Einstellungen!$A$4</xm:f>
            <x14:dxf>
              <font>
                <color theme="1"/>
              </font>
              <fill>
                <patternFill>
                  <bgColor theme="0" tint="-0.24994659260841701"/>
                </patternFill>
              </fill>
            </x14:dxf>
          </x14:cfRule>
          <x14:cfRule type="containsText" priority="16270" operator="containsText" id="{EDCE5FAD-8253-4D37-9CB0-2273036B67BA}">
            <xm:f>NOT(ISERROR(SEARCH(Einstellungen!$A$3,G8)))</xm:f>
            <xm:f>Einstellungen!$A$3</xm:f>
            <x14:dxf>
              <font>
                <color theme="0"/>
              </font>
              <fill>
                <patternFill>
                  <bgColor rgb="FF002060"/>
                </patternFill>
              </fill>
            </x14:dxf>
          </x14:cfRule>
          <x14:cfRule type="containsText" priority="16271" operator="containsText" id="{5D988D07-F98D-478D-B5B1-63B33002511C}">
            <xm:f>NOT(ISERROR(SEARCH(Einstellungen!$A$2,G8)))</xm:f>
            <xm:f>Einstellungen!$A$2</xm:f>
            <x14:dxf>
              <font>
                <color theme="0"/>
              </font>
              <fill>
                <patternFill>
                  <bgColor rgb="FF0070C0"/>
                </patternFill>
              </fill>
            </x14:dxf>
          </x14:cfRule>
          <x14:cfRule type="containsText" priority="16272" operator="containsText" id="{DEE41B9F-92E3-4B02-9BC2-F4258E48A89B}">
            <xm:f>NOT(ISERROR(SEARCH(Einstellungen!$A$1,G8)))</xm:f>
            <xm:f>Einstellungen!$A$1</xm:f>
            <x14:dxf>
              <font>
                <color theme="0"/>
              </font>
              <fill>
                <patternFill>
                  <bgColor rgb="FF00B050"/>
                </patternFill>
              </fill>
            </x14:dxf>
          </x14:cfRule>
          <x14:cfRule type="expression" priority="16273" id="{54808E43-F625-4553-B6DE-74BF980823E0}">
            <xm:f>IF(VLOOKUP(G$4,Einstellungen!$E$2:$E$15,1,FALSE)=G$4,TRUE,FALSE)</xm:f>
            <x14:dxf>
              <fill>
                <patternFill>
                  <bgColor rgb="FFFFE593"/>
                </patternFill>
              </fill>
            </x14:dxf>
          </x14:cfRule>
          <x14:cfRule type="expression" priority="16274" id="{790B7684-F50F-4C2A-A848-3492F765809C}">
            <xm:f>IF(VLOOKUP(G$7,Einstellungen!$E$2:$E$15,1,FALSE)=G$7,TRUE,FALSE)</xm:f>
            <x14:dxf>
              <fill>
                <patternFill>
                  <bgColor rgb="FFFFE593"/>
                </patternFill>
              </fill>
            </x14:dxf>
          </x14:cfRule>
          <x14:cfRule type="beginsWith" priority="16277" operator="beginsWith" id="{D4BA4ED0-D9D0-457B-B1A6-19C05CF1D613}">
            <xm:f>LEFT(G8,LEN(Einstellungen!$A$19))=Einstellungen!$A$19</xm:f>
            <xm:f>Einstellungen!$A$19</xm:f>
            <x14:dxf>
              <font>
                <color theme="1"/>
              </font>
              <fill>
                <patternFill>
                  <bgColor theme="0" tint="-0.24994659260841701"/>
                </patternFill>
              </fill>
            </x14:dxf>
          </x14:cfRule>
          <x14:cfRule type="containsText" priority="16278" operator="containsText" id="{10413416-984D-4DDD-8827-64B853EE41ED}">
            <xm:f>NOT(ISERROR(SEARCH(Einstellungen!$A$18,G8)))</xm:f>
            <xm:f>Einstellungen!$A$18</xm:f>
            <x14:dxf>
              <font>
                <color rgb="FFFFFF00"/>
              </font>
              <fill>
                <patternFill>
                  <bgColor theme="8" tint="-0.499984740745262"/>
                </patternFill>
              </fill>
            </x14:dxf>
          </x14:cfRule>
          <x14:cfRule type="containsText" priority="16279" operator="containsText" id="{F9C0CC14-8503-4777-AFBC-7DCD6562CE52}">
            <xm:f>NOT(ISERROR(SEARCH(Einstellungen!$A$20,G8)))</xm:f>
            <xm:f>Einstellungen!$A$20</xm:f>
            <x14:dxf>
              <font>
                <color theme="1"/>
              </font>
              <fill>
                <patternFill>
                  <bgColor theme="0" tint="-0.24994659260841701"/>
                </patternFill>
              </fill>
            </x14:dxf>
          </x14:cfRule>
          <x14:cfRule type="containsText" priority="16338" operator="containsText" id="{1E4A59D0-CD2D-430A-BFCB-D6C9D3243AEE}">
            <xm:f>NOT(ISERROR(SEARCH(Einstellungen!$A$7,G8)))</xm:f>
            <xm:f>Einstellungen!$A$7</xm:f>
            <x14:dxf>
              <font>
                <color theme="1"/>
              </font>
              <fill>
                <patternFill>
                  <bgColor theme="7" tint="0.79998168889431442"/>
                </patternFill>
              </fill>
            </x14:dxf>
          </x14:cfRule>
          <x14:cfRule type="containsText" priority="16339" operator="containsText" id="{45F47A4D-C323-4F52-9DFF-352803EA4C59}">
            <xm:f>NOT(ISERROR(SEARCH(Einstellungen!$A$9,G8)))</xm:f>
            <xm:f>Einstellungen!$A$9</xm:f>
            <x14:dxf>
              <font>
                <color theme="0"/>
              </font>
              <fill>
                <patternFill>
                  <bgColor theme="2" tint="-0.749961851863155"/>
                </patternFill>
              </fill>
            </x14:dxf>
          </x14:cfRule>
          <x14:cfRule type="containsText" priority="16340" operator="containsText" id="{B47275D0-516D-4ADA-B58F-AAA848E6825A}">
            <xm:f>NOT(ISERROR(SEARCH(Einstellungen!$A$8,G8)))</xm:f>
            <xm:f>Einstellungen!$A$8</xm:f>
            <x14:dxf>
              <font>
                <color theme="1"/>
              </font>
              <fill>
                <patternFill>
                  <bgColor theme="7" tint="0.79998168889431442"/>
                </patternFill>
              </fill>
            </x14:dxf>
          </x14:cfRule>
          <x14:cfRule type="containsText" priority="16341" operator="containsText" id="{F3E10366-B837-4E91-8D34-5FBCE754B87E}">
            <xm:f>NOT(ISERROR(SEARCH(Einstellungen!$A$17,G8)))</xm:f>
            <xm:f>Einstellungen!$A$17</xm:f>
            <x14:dxf>
              <font>
                <color theme="1"/>
              </font>
              <fill>
                <patternFill>
                  <bgColor theme="7" tint="-0.24994659260841701"/>
                </patternFill>
              </fill>
            </x14:dxf>
          </x14:cfRule>
          <x14:cfRule type="containsText" priority="16342" operator="containsText" id="{80F0ECB7-11DB-4A57-8975-A4B096477B06}">
            <xm:f>NOT(ISERROR(SEARCH(Einstellungen!$A$16,G8)))</xm:f>
            <xm:f>Einstellungen!$A$16</xm:f>
            <x14:dxf>
              <font>
                <color theme="1"/>
              </font>
              <fill>
                <patternFill>
                  <bgColor theme="7" tint="0.39994506668294322"/>
                </patternFill>
              </fill>
            </x14:dxf>
          </x14:cfRule>
          <x14:cfRule type="containsText" priority="16343" operator="containsText" id="{FB18EEB9-1108-4295-934E-87E0C1D812F4}">
            <xm:f>NOT(ISERROR(SEARCH(Einstellungen!$A$15,G8)))</xm:f>
            <xm:f>Einstellungen!$A$15</xm:f>
            <x14:dxf>
              <font>
                <color theme="1"/>
              </font>
              <fill>
                <patternFill>
                  <bgColor theme="4" tint="0.39994506668294322"/>
                </patternFill>
              </fill>
            </x14:dxf>
          </x14:cfRule>
          <x14:cfRule type="containsText" priority="16344" operator="containsText" id="{4E2D1FD9-3499-409C-BCCD-677203101DE5}">
            <xm:f>NOT(ISERROR(SEARCH(Einstellungen!$A$14,G8)))</xm:f>
            <xm:f>Einstellungen!$A$14</xm:f>
            <x14:dxf>
              <font>
                <color theme="1"/>
              </font>
              <fill>
                <patternFill>
                  <bgColor theme="0" tint="-0.24994659260841701"/>
                </patternFill>
              </fill>
            </x14:dxf>
          </x14:cfRule>
          <x14:cfRule type="containsText" priority="16345" operator="containsText" id="{017947B7-6B7C-48CC-A074-5AE695DA70AD}">
            <xm:f>NOT(ISERROR(SEARCH(Einstellungen!$A$12,G8)))</xm:f>
            <xm:f>Einstellungen!$A$12</xm:f>
            <x14:dxf>
              <font>
                <color theme="1"/>
              </font>
              <fill>
                <patternFill>
                  <bgColor theme="0" tint="-0.24994659260841701"/>
                </patternFill>
              </fill>
            </x14:dxf>
          </x14:cfRule>
          <x14:cfRule type="containsText" priority="16346" operator="containsText" id="{29451237-22B0-47EE-96F3-9435657E9CE3}">
            <xm:f>NOT(ISERROR(SEARCH(Einstellungen!$A$13,G8)))</xm:f>
            <xm:f>Einstellungen!$A$13</xm:f>
            <x14:dxf>
              <font>
                <color theme="1"/>
              </font>
              <fill>
                <patternFill>
                  <bgColor theme="0" tint="-0.24994659260841701"/>
                </patternFill>
              </fill>
            </x14:dxf>
          </x14:cfRule>
          <x14:cfRule type="containsText" priority="16347" operator="containsText" id="{FE6D33DD-82C1-4648-81AE-D13D0E95E73D}">
            <xm:f>NOT(ISERROR(SEARCH(Einstellungen!$A$11,G8)))</xm:f>
            <xm:f>Einstellungen!$A$11</xm:f>
            <x14:dxf>
              <font>
                <color theme="1"/>
              </font>
              <fill>
                <patternFill>
                  <bgColor theme="5" tint="0.39994506668294322"/>
                </patternFill>
              </fill>
            </x14:dxf>
          </x14:cfRule>
          <x14:cfRule type="containsText" priority="16348" operator="containsText" id="{0B52794B-4512-4828-9834-C2DC262CE7F9}">
            <xm:f>NOT(ISERROR(SEARCH(Einstellungen!$A$5,G8)))</xm:f>
            <xm:f>Einstellungen!$A$5</xm:f>
            <x14:dxf>
              <font>
                <color theme="0"/>
              </font>
              <fill>
                <patternFill>
                  <bgColor theme="2" tint="-0.749961851863155"/>
                </patternFill>
              </fill>
            </x14:dxf>
          </x14:cfRule>
          <x14:cfRule type="containsText" priority="16349" operator="containsText" id="{A965F809-7E33-4CC5-A83D-472DFC7D5D9F}">
            <xm:f>NOT(ISERROR(SEARCH(Einstellungen!$A$4,G8)))</xm:f>
            <xm:f>Einstellungen!$A$4</xm:f>
            <x14:dxf>
              <font>
                <color theme="1"/>
              </font>
              <fill>
                <patternFill>
                  <bgColor theme="0" tint="-0.24994659260841701"/>
                </patternFill>
              </fill>
            </x14:dxf>
          </x14:cfRule>
          <x14:cfRule type="containsText" priority="16350" operator="containsText" id="{A9902EB8-D422-4A8D-923C-3E754F1E6838}">
            <xm:f>NOT(ISERROR(SEARCH(Einstellungen!$A$3,G8)))</xm:f>
            <xm:f>Einstellungen!$A$3</xm:f>
            <x14:dxf>
              <font>
                <color theme="0"/>
              </font>
              <fill>
                <patternFill>
                  <bgColor rgb="FF002060"/>
                </patternFill>
              </fill>
            </x14:dxf>
          </x14:cfRule>
          <x14:cfRule type="containsText" priority="16351" operator="containsText" id="{18C3AC3A-922D-454A-8265-177D54DF36E6}">
            <xm:f>NOT(ISERROR(SEARCH(Einstellungen!$A$2,G8)))</xm:f>
            <xm:f>Einstellungen!$A$2</xm:f>
            <x14:dxf>
              <font>
                <color theme="0"/>
              </font>
              <fill>
                <patternFill>
                  <bgColor rgb="FF0070C0"/>
                </patternFill>
              </fill>
            </x14:dxf>
          </x14:cfRule>
          <x14:cfRule type="containsText" priority="16352" operator="containsText" id="{045F5905-8F3E-4944-A627-D6A4907D4037}">
            <xm:f>NOT(ISERROR(SEARCH(Einstellungen!$A$1,G8)))</xm:f>
            <xm:f>Einstellungen!$A$1</xm:f>
            <x14:dxf>
              <font>
                <color theme="0"/>
              </font>
              <fill>
                <patternFill>
                  <bgColor rgb="FF00B050"/>
                </patternFill>
              </fill>
            </x14:dxf>
          </x14:cfRule>
          <x14:cfRule type="expression" priority="16353" id="{0B92103A-E34E-4BFE-870A-935A8AC70185}">
            <xm:f>IF(VLOOKUP(G$4,Einstellungen!$E$2:$E$15,1,FALSE)=G$4,TRUE,FALSE)</xm:f>
            <x14:dxf>
              <fill>
                <patternFill>
                  <bgColor rgb="FFFFE593"/>
                </patternFill>
              </fill>
            </x14:dxf>
          </x14:cfRule>
          <x14:cfRule type="expression" priority="16354" id="{EE068CCD-58CA-4CA7-AE41-D1ADBF8A6B48}">
            <xm:f>IF(VLOOKUP(G$7,Einstellungen!$E$2:$E$15,1,FALSE)=G$7,TRUE,FALSE)</xm:f>
            <x14:dxf>
              <fill>
                <patternFill>
                  <bgColor rgb="FFFFE593"/>
                </patternFill>
              </fill>
            </x14:dxf>
          </x14:cfRule>
          <x14:cfRule type="containsText" priority="16357" operator="containsText" id="{E7D85747-1CAC-44C5-B036-06A7A25260E1}">
            <xm:f>NOT(ISERROR(SEARCH(Einstellungen!$A$5,G8)))</xm:f>
            <xm:f>Einstellungen!$A$5</xm:f>
            <x14:dxf>
              <font>
                <color theme="1"/>
              </font>
              <fill>
                <patternFill>
                  <bgColor theme="0" tint="-0.24994659260841701"/>
                </patternFill>
              </fill>
            </x14:dxf>
          </x14:cfRule>
          <x14:cfRule type="containsText" priority="16358" operator="containsText" id="{E9840936-D776-48E7-9FB1-42B7875CECD0}">
            <xm:f>NOT(ISERROR(SEARCH(Einstellungen!$A$4,G8)))</xm:f>
            <xm:f>Einstellungen!$A$4</xm:f>
            <x14:dxf>
              <font>
                <color theme="1"/>
              </font>
              <fill>
                <patternFill>
                  <bgColor theme="0" tint="-0.24994659260841701"/>
                </patternFill>
              </fill>
            </x14:dxf>
          </x14:cfRule>
          <x14:cfRule type="containsText" priority="16359" operator="containsText" id="{1661DA00-9C14-4A63-8AE5-C3B87786EF68}">
            <xm:f>NOT(ISERROR(SEARCH(Einstellungen!$A$3,G8)))</xm:f>
            <xm:f>Einstellungen!$A$3</xm:f>
            <x14:dxf>
              <font>
                <color theme="0"/>
              </font>
              <fill>
                <patternFill>
                  <bgColor rgb="FF002060"/>
                </patternFill>
              </fill>
            </x14:dxf>
          </x14:cfRule>
          <x14:cfRule type="containsText" priority="16360" operator="containsText" id="{770063AB-D5E8-40DD-A6FD-8CD3FE6153FF}">
            <xm:f>NOT(ISERROR(SEARCH(Einstellungen!$A$2,G8)))</xm:f>
            <xm:f>Einstellungen!$A$2</xm:f>
            <x14:dxf>
              <font>
                <color theme="0"/>
              </font>
              <fill>
                <patternFill>
                  <bgColor rgb="FF0070C0"/>
                </patternFill>
              </fill>
            </x14:dxf>
          </x14:cfRule>
          <x14:cfRule type="containsText" priority="16361" operator="containsText" id="{95C35A5F-169F-4C64-92EF-2385B7958BE8}">
            <xm:f>NOT(ISERROR(SEARCH(Einstellungen!$A$1,G8)))</xm:f>
            <xm:f>Einstellungen!$A$1</xm:f>
            <x14:dxf>
              <font>
                <color theme="0"/>
              </font>
              <fill>
                <patternFill>
                  <bgColor rgb="FF00B050"/>
                </patternFill>
              </fill>
            </x14:dxf>
          </x14:cfRule>
          <x14:cfRule type="expression" priority="16362" id="{D48082C3-77A2-4DC9-B8B6-4721DEEFA091}">
            <xm:f>IF(VLOOKUP(G$4,Einstellungen!$E$2:$E$15,1,FALSE)=G$4,TRUE,FALSE)</xm:f>
            <x14:dxf>
              <fill>
                <patternFill>
                  <bgColor rgb="FFFFE593"/>
                </patternFill>
              </fill>
            </x14:dxf>
          </x14:cfRule>
          <x14:cfRule type="expression" priority="16363" id="{153516A7-3D4D-4D84-9F37-117BCDF8BF5E}">
            <xm:f>IF(VLOOKUP(G$7,Einstellungen!$E$2:$E$15,1,FALSE)=G$7,TRUE,FALSE)</xm:f>
            <x14:dxf>
              <fill>
                <patternFill>
                  <bgColor rgb="FFFFE593"/>
                </patternFill>
              </fill>
            </x14:dxf>
          </x14:cfRule>
          <x14:cfRule type="containsText" priority="16366" operator="containsText" id="{23C7D97B-F7EB-4A2B-B112-DB351FC276C8}">
            <xm:f>NOT(ISERROR(SEARCH(Einstellungen!$A$7,G8)))</xm:f>
            <xm:f>Einstellungen!$A$7</xm:f>
            <x14:dxf>
              <font>
                <color theme="1"/>
              </font>
              <fill>
                <patternFill>
                  <bgColor theme="7" tint="0.79998168889431442"/>
                </patternFill>
              </fill>
            </x14:dxf>
          </x14:cfRule>
          <x14:cfRule type="containsText" priority="16367" operator="containsText" id="{17CAC592-EAD1-4C96-94A1-AF97962E0310}">
            <xm:f>NOT(ISERROR(SEARCH(Einstellungen!$A$9,G8)))</xm:f>
            <xm:f>Einstellungen!$A$9</xm:f>
            <x14:dxf>
              <font>
                <color theme="0"/>
              </font>
              <fill>
                <patternFill>
                  <bgColor theme="2" tint="-0.749961851863155"/>
                </patternFill>
              </fill>
            </x14:dxf>
          </x14:cfRule>
          <x14:cfRule type="containsText" priority="16368" operator="containsText" id="{CF6E4B4B-0A33-4FDA-A977-51040302DE4D}">
            <xm:f>NOT(ISERROR(SEARCH(Einstellungen!$A$8,G8)))</xm:f>
            <xm:f>Einstellungen!$A$8</xm:f>
            <x14:dxf>
              <font>
                <color theme="1"/>
              </font>
              <fill>
                <patternFill>
                  <bgColor theme="7" tint="0.79998168889431442"/>
                </patternFill>
              </fill>
            </x14:dxf>
          </x14:cfRule>
          <x14:cfRule type="containsText" priority="16369" operator="containsText" id="{4DC84CCA-4D16-4DD4-8CF6-FCF98CC886BD}">
            <xm:f>NOT(ISERROR(SEARCH(Einstellungen!$A$17,G8)))</xm:f>
            <xm:f>Einstellungen!$A$17</xm:f>
            <x14:dxf>
              <font>
                <color theme="1"/>
              </font>
              <fill>
                <patternFill>
                  <bgColor theme="7" tint="-0.24994659260841701"/>
                </patternFill>
              </fill>
            </x14:dxf>
          </x14:cfRule>
          <x14:cfRule type="containsText" priority="16370" operator="containsText" id="{D198EEE9-A973-4B99-8FEB-5020303F1E15}">
            <xm:f>NOT(ISERROR(SEARCH(Einstellungen!$A$16,G8)))</xm:f>
            <xm:f>Einstellungen!$A$16</xm:f>
            <x14:dxf>
              <font>
                <color theme="1"/>
              </font>
              <fill>
                <patternFill>
                  <bgColor theme="7" tint="0.39994506668294322"/>
                </patternFill>
              </fill>
            </x14:dxf>
          </x14:cfRule>
          <x14:cfRule type="containsText" priority="16371" operator="containsText" id="{565E528A-EBE8-4F4F-8CF2-D63C79AD9B64}">
            <xm:f>NOT(ISERROR(SEARCH(Einstellungen!$A$15,G8)))</xm:f>
            <xm:f>Einstellungen!$A$15</xm:f>
            <x14:dxf>
              <font>
                <color theme="1"/>
              </font>
              <fill>
                <patternFill>
                  <bgColor theme="4" tint="0.39994506668294322"/>
                </patternFill>
              </fill>
            </x14:dxf>
          </x14:cfRule>
          <x14:cfRule type="containsText" priority="16372" operator="containsText" id="{49F279C3-5A90-4777-873F-ECA207EB5623}">
            <xm:f>NOT(ISERROR(SEARCH(Einstellungen!$A$14,G8)))</xm:f>
            <xm:f>Einstellungen!$A$14</xm:f>
            <x14:dxf>
              <font>
                <color theme="1"/>
              </font>
              <fill>
                <patternFill>
                  <bgColor theme="0" tint="-0.24994659260841701"/>
                </patternFill>
              </fill>
            </x14:dxf>
          </x14:cfRule>
          <x14:cfRule type="containsText" priority="16373" operator="containsText" id="{5F835F68-366F-4B51-B8F7-9941E402F748}">
            <xm:f>NOT(ISERROR(SEARCH(Einstellungen!$A$12,G8)))</xm:f>
            <xm:f>Einstellungen!$A$12</xm:f>
            <x14:dxf>
              <font>
                <color theme="1"/>
              </font>
              <fill>
                <patternFill>
                  <bgColor theme="0" tint="-0.24994659260841701"/>
                </patternFill>
              </fill>
            </x14:dxf>
          </x14:cfRule>
          <x14:cfRule type="containsText" priority="16374" operator="containsText" id="{73A7ED66-C9DE-429A-99A7-4CF3E45F2911}">
            <xm:f>NOT(ISERROR(SEARCH(Einstellungen!$A$13,G8)))</xm:f>
            <xm:f>Einstellungen!$A$13</xm:f>
            <x14:dxf>
              <font>
                <color theme="1"/>
              </font>
              <fill>
                <patternFill>
                  <bgColor theme="0" tint="-0.24994659260841701"/>
                </patternFill>
              </fill>
            </x14:dxf>
          </x14:cfRule>
          <x14:cfRule type="containsText" priority="16375" operator="containsText" id="{68276D15-C29C-4078-8AA0-800A8A012315}">
            <xm:f>NOT(ISERROR(SEARCH(Einstellungen!$A$11,G8)))</xm:f>
            <xm:f>Einstellungen!$A$11</xm:f>
            <x14:dxf>
              <font>
                <color theme="1"/>
              </font>
              <fill>
                <patternFill>
                  <bgColor theme="5" tint="0.39994506668294322"/>
                </patternFill>
              </fill>
            </x14:dxf>
          </x14:cfRule>
          <x14:cfRule type="containsText" priority="16376" operator="containsText" id="{F54445B3-9798-4A7A-BEC1-5377832202D2}">
            <xm:f>NOT(ISERROR(SEARCH(Einstellungen!$A$5,G8)))</xm:f>
            <xm:f>Einstellungen!$A$5</xm:f>
            <x14:dxf>
              <font>
                <color theme="0"/>
              </font>
              <fill>
                <patternFill>
                  <bgColor theme="2" tint="-0.749961851863155"/>
                </patternFill>
              </fill>
            </x14:dxf>
          </x14:cfRule>
          <x14:cfRule type="containsText" priority="16377" operator="containsText" id="{2C224002-6067-4361-A72E-2E0EBC9530BD}">
            <xm:f>NOT(ISERROR(SEARCH(Einstellungen!$A$4,G8)))</xm:f>
            <xm:f>Einstellungen!$A$4</xm:f>
            <x14:dxf>
              <font>
                <color theme="1"/>
              </font>
              <fill>
                <patternFill>
                  <bgColor theme="0" tint="-0.24994659260841701"/>
                </patternFill>
              </fill>
            </x14:dxf>
          </x14:cfRule>
          <x14:cfRule type="containsText" priority="16378" operator="containsText" id="{5457E693-E4C6-4E21-8B62-AD359ABFAE76}">
            <xm:f>NOT(ISERROR(SEARCH(Einstellungen!$A$3,G8)))</xm:f>
            <xm:f>Einstellungen!$A$3</xm:f>
            <x14:dxf>
              <font>
                <color theme="0"/>
              </font>
              <fill>
                <patternFill>
                  <bgColor rgb="FF002060"/>
                </patternFill>
              </fill>
            </x14:dxf>
          </x14:cfRule>
          <x14:cfRule type="containsText" priority="16379" operator="containsText" id="{8CA14127-AEE9-48A3-83B2-B13EDC77D550}">
            <xm:f>NOT(ISERROR(SEARCH(Einstellungen!$A$2,G8)))</xm:f>
            <xm:f>Einstellungen!$A$2</xm:f>
            <x14:dxf>
              <font>
                <color theme="0"/>
              </font>
              <fill>
                <patternFill>
                  <bgColor rgb="FF0070C0"/>
                </patternFill>
              </fill>
            </x14:dxf>
          </x14:cfRule>
          <x14:cfRule type="containsText" priority="16380" operator="containsText" id="{D9BA60FC-D5FA-4C72-B96D-2A51D7E406FB}">
            <xm:f>NOT(ISERROR(SEARCH(Einstellungen!$A$1,G8)))</xm:f>
            <xm:f>Einstellungen!$A$1</xm:f>
            <x14:dxf>
              <font>
                <color theme="0"/>
              </font>
              <fill>
                <patternFill>
                  <bgColor rgb="FF00B050"/>
                </patternFill>
              </fill>
            </x14:dxf>
          </x14:cfRule>
          <x14:cfRule type="expression" priority="16381" id="{854FEEF4-ED38-4E4D-AF5A-FB052B4AA69A}">
            <xm:f>IF(VLOOKUP(G$4,Einstellungen!$E$2:$E$15,1,FALSE)=G$4,TRUE,FALSE)</xm:f>
            <x14:dxf>
              <fill>
                <patternFill>
                  <bgColor rgb="FFFFE593"/>
                </patternFill>
              </fill>
            </x14:dxf>
          </x14:cfRule>
          <x14:cfRule type="expression" priority="16382" id="{21B7A4C1-04EF-4817-ADB2-6ED329697D30}">
            <xm:f>IF(VLOOKUP(G$7,Einstellungen!$E$2:$E$15,1,FALSE)=G$7,TRUE,FALSE)</xm:f>
            <x14:dxf>
              <fill>
                <patternFill>
                  <bgColor rgb="FFFFE593"/>
                </patternFill>
              </fill>
            </x14:dxf>
          </x14:cfRule>
          <x14:cfRule type="containsText" priority="16385" operator="containsText" id="{E28081B1-5963-412D-8DDD-B82E9262119A}">
            <xm:f>NOT(ISERROR(SEARCH(Einstellungen!$A$5,G8)))</xm:f>
            <xm:f>Einstellungen!$A$5</xm:f>
            <x14:dxf>
              <font>
                <color theme="1"/>
              </font>
              <fill>
                <patternFill>
                  <bgColor theme="0" tint="-0.24994659260841701"/>
                </patternFill>
              </fill>
            </x14:dxf>
          </x14:cfRule>
          <x14:cfRule type="containsText" priority="16386" operator="containsText" id="{636AC6DE-4BB9-4E80-A89E-A8F80255F95F}">
            <xm:f>NOT(ISERROR(SEARCH(Einstellungen!$A$4,G8)))</xm:f>
            <xm:f>Einstellungen!$A$4</xm:f>
            <x14:dxf>
              <font>
                <color theme="1"/>
              </font>
              <fill>
                <patternFill>
                  <bgColor theme="0" tint="-0.24994659260841701"/>
                </patternFill>
              </fill>
            </x14:dxf>
          </x14:cfRule>
          <x14:cfRule type="containsText" priority="16387" operator="containsText" id="{C8092D69-0144-4BD7-9BB8-E4E8E0468EEA}">
            <xm:f>NOT(ISERROR(SEARCH(Einstellungen!$A$3,G8)))</xm:f>
            <xm:f>Einstellungen!$A$3</xm:f>
            <x14:dxf>
              <font>
                <color theme="0"/>
              </font>
              <fill>
                <patternFill>
                  <bgColor rgb="FF002060"/>
                </patternFill>
              </fill>
            </x14:dxf>
          </x14:cfRule>
          <x14:cfRule type="containsText" priority="16388" operator="containsText" id="{FB3086F9-8613-4D18-BF14-73EAD5F9C36E}">
            <xm:f>NOT(ISERROR(SEARCH(Einstellungen!$A$2,G8)))</xm:f>
            <xm:f>Einstellungen!$A$2</xm:f>
            <x14:dxf>
              <font>
                <color theme="0"/>
              </font>
              <fill>
                <patternFill>
                  <bgColor rgb="FF0070C0"/>
                </patternFill>
              </fill>
            </x14:dxf>
          </x14:cfRule>
          <x14:cfRule type="containsText" priority="16389" operator="containsText" id="{149E92B9-118C-4C17-A4CF-59C57727B6BF}">
            <xm:f>NOT(ISERROR(SEARCH(Einstellungen!$A$1,G8)))</xm:f>
            <xm:f>Einstellungen!$A$1</xm:f>
            <x14:dxf>
              <font>
                <color theme="0"/>
              </font>
              <fill>
                <patternFill>
                  <bgColor rgb="FF00B050"/>
                </patternFill>
              </fill>
            </x14:dxf>
          </x14:cfRule>
          <x14:cfRule type="expression" priority="16390" id="{D1FA62DC-AFFF-4B6B-9CF5-0B66F11C4D25}">
            <xm:f>IF(VLOOKUP(G$4,Einstellungen!$E$2:$E$15,1,FALSE)=G$4,TRUE,FALSE)</xm:f>
            <x14:dxf>
              <fill>
                <patternFill>
                  <bgColor rgb="FFFFE593"/>
                </patternFill>
              </fill>
            </x14:dxf>
          </x14:cfRule>
          <x14:cfRule type="expression" priority="16391" id="{FFE73C8E-EE6A-4773-8937-F15258836C31}">
            <xm:f>IF(VLOOKUP(G$7,Einstellungen!$E$2:$E$15,1,FALSE)=G$7,TRUE,FALSE)</xm:f>
            <x14:dxf>
              <fill>
                <patternFill>
                  <bgColor rgb="FFFFE593"/>
                </patternFill>
              </fill>
            </x14:dxf>
          </x14:cfRule>
          <x14:cfRule type="containsText" priority="16394" operator="containsText" id="{CD6E2FA3-6DAB-4908-BB02-8778F91DD9C5}">
            <xm:f>NOT(ISERROR(SEARCH(Einstellungen!$A$7,G8)))</xm:f>
            <xm:f>Einstellungen!$A$7</xm:f>
            <x14:dxf>
              <font>
                <color theme="1"/>
              </font>
              <fill>
                <patternFill>
                  <bgColor theme="7" tint="0.79998168889431442"/>
                </patternFill>
              </fill>
            </x14:dxf>
          </x14:cfRule>
          <x14:cfRule type="containsText" priority="16395" operator="containsText" id="{E395C283-86B9-4E79-BF86-E86FB6EE2F6E}">
            <xm:f>NOT(ISERROR(SEARCH(Einstellungen!$A$9,G8)))</xm:f>
            <xm:f>Einstellungen!$A$9</xm:f>
            <x14:dxf>
              <font>
                <color theme="0"/>
              </font>
              <fill>
                <patternFill>
                  <bgColor theme="2" tint="-0.749961851863155"/>
                </patternFill>
              </fill>
            </x14:dxf>
          </x14:cfRule>
          <x14:cfRule type="containsText" priority="16396" operator="containsText" id="{7612608B-6FBF-441A-A573-CC07D271976F}">
            <xm:f>NOT(ISERROR(SEARCH(Einstellungen!$A$8,G8)))</xm:f>
            <xm:f>Einstellungen!$A$8</xm:f>
            <x14:dxf>
              <font>
                <color theme="1"/>
              </font>
              <fill>
                <patternFill>
                  <bgColor theme="7" tint="0.79998168889431442"/>
                </patternFill>
              </fill>
            </x14:dxf>
          </x14:cfRule>
          <x14:cfRule type="containsText" priority="16397" operator="containsText" id="{AF12D02A-61ED-4428-9FE2-848238558C5B}">
            <xm:f>NOT(ISERROR(SEARCH(Einstellungen!$A$17,G8)))</xm:f>
            <xm:f>Einstellungen!$A$17</xm:f>
            <x14:dxf>
              <font>
                <color theme="1"/>
              </font>
              <fill>
                <patternFill>
                  <bgColor theme="7" tint="-0.24994659260841701"/>
                </patternFill>
              </fill>
            </x14:dxf>
          </x14:cfRule>
          <x14:cfRule type="containsText" priority="16398" operator="containsText" id="{1B2E1B28-C2A6-45E3-96EF-801B57D1337F}">
            <xm:f>NOT(ISERROR(SEARCH(Einstellungen!$A$16,G8)))</xm:f>
            <xm:f>Einstellungen!$A$16</xm:f>
            <x14:dxf>
              <font>
                <color theme="1"/>
              </font>
              <fill>
                <patternFill>
                  <bgColor theme="7" tint="0.39994506668294322"/>
                </patternFill>
              </fill>
            </x14:dxf>
          </x14:cfRule>
          <x14:cfRule type="containsText" priority="16399" operator="containsText" id="{01BFE7EF-F1DA-4727-BCA1-F95BFDF9AB45}">
            <xm:f>NOT(ISERROR(SEARCH(Einstellungen!$A$15,G8)))</xm:f>
            <xm:f>Einstellungen!$A$15</xm:f>
            <x14:dxf>
              <font>
                <color theme="1"/>
              </font>
              <fill>
                <patternFill>
                  <bgColor theme="4" tint="0.39994506668294322"/>
                </patternFill>
              </fill>
            </x14:dxf>
          </x14:cfRule>
          <x14:cfRule type="containsText" priority="16400" operator="containsText" id="{D44832BE-845C-4C32-97B2-906D568CCC9C}">
            <xm:f>NOT(ISERROR(SEARCH(Einstellungen!$A$14,G8)))</xm:f>
            <xm:f>Einstellungen!$A$14</xm:f>
            <x14:dxf>
              <font>
                <color theme="1"/>
              </font>
              <fill>
                <patternFill>
                  <bgColor theme="0" tint="-0.24994659260841701"/>
                </patternFill>
              </fill>
            </x14:dxf>
          </x14:cfRule>
          <x14:cfRule type="containsText" priority="16401" operator="containsText" id="{F85B24D7-95E7-4507-B54A-2D77572040F3}">
            <xm:f>NOT(ISERROR(SEARCH(Einstellungen!$A$12,G8)))</xm:f>
            <xm:f>Einstellungen!$A$12</xm:f>
            <x14:dxf>
              <font>
                <color theme="1"/>
              </font>
              <fill>
                <patternFill>
                  <bgColor theme="0" tint="-0.24994659260841701"/>
                </patternFill>
              </fill>
            </x14:dxf>
          </x14:cfRule>
          <x14:cfRule type="containsText" priority="16402" operator="containsText" id="{B7989DE5-7C00-4394-9702-C63FD6197F30}">
            <xm:f>NOT(ISERROR(SEARCH(Einstellungen!$A$13,G8)))</xm:f>
            <xm:f>Einstellungen!$A$13</xm:f>
            <x14:dxf>
              <font>
                <color theme="1"/>
              </font>
              <fill>
                <patternFill>
                  <bgColor theme="0" tint="-0.24994659260841701"/>
                </patternFill>
              </fill>
            </x14:dxf>
          </x14:cfRule>
          <x14:cfRule type="containsText" priority="16403" operator="containsText" id="{D3F8727B-6B15-4BA4-AFF8-8AF82482D39A}">
            <xm:f>NOT(ISERROR(SEARCH(Einstellungen!$A$11,G8)))</xm:f>
            <xm:f>Einstellungen!$A$11</xm:f>
            <x14:dxf>
              <font>
                <color theme="1"/>
              </font>
              <fill>
                <patternFill>
                  <bgColor theme="5" tint="0.39994506668294322"/>
                </patternFill>
              </fill>
            </x14:dxf>
          </x14:cfRule>
          <x14:cfRule type="containsText" priority="16404" operator="containsText" id="{96580F8A-2A93-46AB-B609-2F8FA9755EC3}">
            <xm:f>NOT(ISERROR(SEARCH(Einstellungen!$A$5,G8)))</xm:f>
            <xm:f>Einstellungen!$A$5</xm:f>
            <x14:dxf>
              <font>
                <color theme="0"/>
              </font>
              <fill>
                <patternFill>
                  <bgColor theme="2" tint="-0.749961851863155"/>
                </patternFill>
              </fill>
            </x14:dxf>
          </x14:cfRule>
          <x14:cfRule type="containsText" priority="16405" operator="containsText" id="{BA36079A-DF57-4A03-B77F-99EE2F4AB571}">
            <xm:f>NOT(ISERROR(SEARCH(Einstellungen!$A$4,G8)))</xm:f>
            <xm:f>Einstellungen!$A$4</xm:f>
            <x14:dxf>
              <font>
                <color theme="1"/>
              </font>
              <fill>
                <patternFill>
                  <bgColor theme="0" tint="-0.24994659260841701"/>
                </patternFill>
              </fill>
            </x14:dxf>
          </x14:cfRule>
          <x14:cfRule type="containsText" priority="16406" operator="containsText" id="{5CF34BA9-C80D-4C6E-A715-5A1BAEEE1F90}">
            <xm:f>NOT(ISERROR(SEARCH(Einstellungen!$A$3,G8)))</xm:f>
            <xm:f>Einstellungen!$A$3</xm:f>
            <x14:dxf>
              <font>
                <color theme="0"/>
              </font>
              <fill>
                <patternFill>
                  <bgColor rgb="FF002060"/>
                </patternFill>
              </fill>
            </x14:dxf>
          </x14:cfRule>
          <x14:cfRule type="containsText" priority="16407" operator="containsText" id="{1CD0DEA3-14FF-4DD4-A34B-DF8D7300B5E8}">
            <xm:f>NOT(ISERROR(SEARCH(Einstellungen!$A$2,G8)))</xm:f>
            <xm:f>Einstellungen!$A$2</xm:f>
            <x14:dxf>
              <font>
                <color theme="0"/>
              </font>
              <fill>
                <patternFill>
                  <bgColor rgb="FF0070C0"/>
                </patternFill>
              </fill>
            </x14:dxf>
          </x14:cfRule>
          <x14:cfRule type="containsText" priority="16408" operator="containsText" id="{87B57D29-AEFE-4E8B-B536-0D3D66B85623}">
            <xm:f>NOT(ISERROR(SEARCH(Einstellungen!$A$1,G8)))</xm:f>
            <xm:f>Einstellungen!$A$1</xm:f>
            <x14:dxf>
              <font>
                <color theme="0"/>
              </font>
              <fill>
                <patternFill>
                  <bgColor rgb="FF00B050"/>
                </patternFill>
              </fill>
            </x14:dxf>
          </x14:cfRule>
          <x14:cfRule type="expression" priority="16409" id="{51790FB4-35DF-4B75-BFC9-B502250E7B55}">
            <xm:f>IF(VLOOKUP(G$4,Einstellungen!$E$2:$E$15,1,FALSE)=G$4,TRUE,FALSE)</xm:f>
            <x14:dxf>
              <fill>
                <patternFill>
                  <bgColor rgb="FFFFE593"/>
                </patternFill>
              </fill>
            </x14:dxf>
          </x14:cfRule>
          <x14:cfRule type="expression" priority="16410" id="{FA8B0C80-EFDD-4672-819C-3CA02DFD21BA}">
            <xm:f>IF(VLOOKUP(G$7,Einstellungen!$E$2:$E$15,1,FALSE)=G$7,TRUE,FALSE)</xm:f>
            <x14:dxf>
              <fill>
                <patternFill>
                  <bgColor rgb="FFFFE593"/>
                </patternFill>
              </fill>
            </x14:dxf>
          </x14:cfRule>
          <x14:cfRule type="containsText" priority="16413" operator="containsText" id="{21C6D02B-0171-4159-A8C3-67062A685D0F}">
            <xm:f>NOT(ISERROR(SEARCH(Einstellungen!$A$5,G8)))</xm:f>
            <xm:f>Einstellungen!$A$5</xm:f>
            <x14:dxf>
              <font>
                <color theme="1"/>
              </font>
              <fill>
                <patternFill>
                  <bgColor theme="0" tint="-0.24994659260841701"/>
                </patternFill>
              </fill>
            </x14:dxf>
          </x14:cfRule>
          <x14:cfRule type="containsText" priority="16414" operator="containsText" id="{BFF94E15-C271-4989-851F-5115C027E3FE}">
            <xm:f>NOT(ISERROR(SEARCH(Einstellungen!$A$4,G8)))</xm:f>
            <xm:f>Einstellungen!$A$4</xm:f>
            <x14:dxf>
              <font>
                <color theme="1"/>
              </font>
              <fill>
                <patternFill>
                  <bgColor theme="0" tint="-0.24994659260841701"/>
                </patternFill>
              </fill>
            </x14:dxf>
          </x14:cfRule>
          <x14:cfRule type="containsText" priority="16415" operator="containsText" id="{E22E5452-FBE1-4F68-BED7-A1C9400EFDEE}">
            <xm:f>NOT(ISERROR(SEARCH(Einstellungen!$A$3,G8)))</xm:f>
            <xm:f>Einstellungen!$A$3</xm:f>
            <x14:dxf>
              <font>
                <color theme="0"/>
              </font>
              <fill>
                <patternFill>
                  <bgColor rgb="FF002060"/>
                </patternFill>
              </fill>
            </x14:dxf>
          </x14:cfRule>
          <x14:cfRule type="containsText" priority="16416" operator="containsText" id="{40A54EA1-B2F6-450B-80B3-E7EAF9279984}">
            <xm:f>NOT(ISERROR(SEARCH(Einstellungen!$A$2,G8)))</xm:f>
            <xm:f>Einstellungen!$A$2</xm:f>
            <x14:dxf>
              <font>
                <color theme="0"/>
              </font>
              <fill>
                <patternFill>
                  <bgColor rgb="FF0070C0"/>
                </patternFill>
              </fill>
            </x14:dxf>
          </x14:cfRule>
          <x14:cfRule type="containsText" priority="16417" operator="containsText" id="{FCF7917F-9389-4F81-A1EB-9AF27B6C203B}">
            <xm:f>NOT(ISERROR(SEARCH(Einstellungen!$A$1,G8)))</xm:f>
            <xm:f>Einstellungen!$A$1</xm:f>
            <x14:dxf>
              <font>
                <color theme="0"/>
              </font>
              <fill>
                <patternFill>
                  <bgColor rgb="FF00B050"/>
                </patternFill>
              </fill>
            </x14:dxf>
          </x14:cfRule>
          <x14:cfRule type="expression" priority="16418" id="{8F951CF7-F3DF-4C89-9407-3E8F355E5044}">
            <xm:f>IF(VLOOKUP(G$4,Einstellungen!$E$2:$E$15,1,FALSE)=G$4,TRUE,FALSE)</xm:f>
            <x14:dxf>
              <fill>
                <patternFill>
                  <bgColor rgb="FFFFE593"/>
                </patternFill>
              </fill>
            </x14:dxf>
          </x14:cfRule>
          <x14:cfRule type="expression" priority="16419" id="{152DD9CD-B4B8-4947-A109-A427307737A6}">
            <xm:f>IF(VLOOKUP(G$7,Einstellungen!$E$2:$E$15,1,FALSE)=G$7,TRUE,FALSE)</xm:f>
            <x14:dxf>
              <fill>
                <patternFill>
                  <bgColor rgb="FFFFE593"/>
                </patternFill>
              </fill>
            </x14:dxf>
          </x14:cfRule>
          <x14:cfRule type="beginsWith" priority="16422" operator="beginsWith" id="{A67A88AB-3619-4DB2-BF06-0454FA0B6950}">
            <xm:f>LEFT(G8,LEN(Einstellungen!$A$19))=Einstellungen!$A$19</xm:f>
            <xm:f>Einstellungen!$A$19</xm:f>
            <x14:dxf>
              <font>
                <color theme="1"/>
              </font>
              <fill>
                <patternFill>
                  <bgColor theme="0" tint="-0.24994659260841701"/>
                </patternFill>
              </fill>
            </x14:dxf>
          </x14:cfRule>
          <x14:cfRule type="containsText" priority="16423" operator="containsText" id="{016CB797-C051-4A83-965A-717A723BF373}">
            <xm:f>NOT(ISERROR(SEARCH(Einstellungen!$A$7,G8)))</xm:f>
            <xm:f>Einstellungen!$A$7</xm:f>
            <x14:dxf>
              <font>
                <color theme="1"/>
              </font>
              <fill>
                <patternFill>
                  <bgColor theme="7" tint="0.79998168889431442"/>
                </patternFill>
              </fill>
            </x14:dxf>
          </x14:cfRule>
          <x14:cfRule type="containsText" priority="16424" operator="containsText" id="{BE8E4802-B5D2-4EB8-9577-E670A124773C}">
            <xm:f>NOT(ISERROR(SEARCH(Einstellungen!$A$9,G8)))</xm:f>
            <xm:f>Einstellungen!$A$9</xm:f>
            <x14:dxf>
              <font>
                <color theme="0"/>
              </font>
              <fill>
                <patternFill>
                  <bgColor theme="2" tint="-0.749961851863155"/>
                </patternFill>
              </fill>
            </x14:dxf>
          </x14:cfRule>
          <x14:cfRule type="containsText" priority="16425" operator="containsText" id="{FABEA61F-EAAF-43B3-802C-2988E9E60886}">
            <xm:f>NOT(ISERROR(SEARCH(Einstellungen!$A$8,G8)))</xm:f>
            <xm:f>Einstellungen!$A$8</xm:f>
            <x14:dxf>
              <font>
                <color theme="1"/>
              </font>
              <fill>
                <patternFill>
                  <bgColor theme="7" tint="0.79998168889431442"/>
                </patternFill>
              </fill>
            </x14:dxf>
          </x14:cfRule>
          <x14:cfRule type="containsText" priority="16426" operator="containsText" id="{8BFE8295-2BAD-4091-9391-58106D67D3F0}">
            <xm:f>NOT(ISERROR(SEARCH(Einstellungen!$A$17,G8)))</xm:f>
            <xm:f>Einstellungen!$A$17</xm:f>
            <x14:dxf>
              <font>
                <color theme="1"/>
              </font>
              <fill>
                <patternFill>
                  <bgColor theme="7" tint="-0.24994659260841701"/>
                </patternFill>
              </fill>
            </x14:dxf>
          </x14:cfRule>
          <x14:cfRule type="containsText" priority="16427" operator="containsText" id="{14385E21-F118-418E-B247-4F98757E9CD8}">
            <xm:f>NOT(ISERROR(SEARCH(Einstellungen!$A$16,G8)))</xm:f>
            <xm:f>Einstellungen!$A$16</xm:f>
            <x14:dxf>
              <font>
                <color theme="1"/>
              </font>
              <fill>
                <patternFill>
                  <bgColor theme="7" tint="0.39994506668294322"/>
                </patternFill>
              </fill>
            </x14:dxf>
          </x14:cfRule>
          <x14:cfRule type="containsText" priority="16428" operator="containsText" id="{4BF5BCA1-2059-47DF-9BF3-72777C3442E9}">
            <xm:f>NOT(ISERROR(SEARCH(Einstellungen!$A$15,G8)))</xm:f>
            <xm:f>Einstellungen!$A$15</xm:f>
            <x14:dxf>
              <font>
                <color theme="1"/>
              </font>
              <fill>
                <patternFill>
                  <bgColor theme="4" tint="0.39994506668294322"/>
                </patternFill>
              </fill>
            </x14:dxf>
          </x14:cfRule>
          <x14:cfRule type="containsText" priority="16429" operator="containsText" id="{DF8EF0B4-B629-492F-8B2E-1D6F0F64D227}">
            <xm:f>NOT(ISERROR(SEARCH(Einstellungen!$A$14,G8)))</xm:f>
            <xm:f>Einstellungen!$A$14</xm:f>
            <x14:dxf>
              <font>
                <color theme="1"/>
              </font>
              <fill>
                <patternFill>
                  <bgColor theme="0" tint="-0.24994659260841701"/>
                </patternFill>
              </fill>
            </x14:dxf>
          </x14:cfRule>
          <x14:cfRule type="containsText" priority="16430" operator="containsText" id="{3DEB021A-9136-46EA-8F3F-AD52AF2C3B8D}">
            <xm:f>NOT(ISERROR(SEARCH(Einstellungen!$A$12,G8)))</xm:f>
            <xm:f>Einstellungen!$A$12</xm:f>
            <x14:dxf>
              <font>
                <color theme="1"/>
              </font>
              <fill>
                <patternFill>
                  <bgColor theme="0" tint="-0.24994659260841701"/>
                </patternFill>
              </fill>
            </x14:dxf>
          </x14:cfRule>
          <x14:cfRule type="containsText" priority="16431" operator="containsText" id="{7568C57D-5969-4140-8E73-E07E40862DA2}">
            <xm:f>NOT(ISERROR(SEARCH(Einstellungen!$A$13,G8)))</xm:f>
            <xm:f>Einstellungen!$A$13</xm:f>
            <x14:dxf>
              <font>
                <color theme="1"/>
              </font>
              <fill>
                <patternFill>
                  <bgColor theme="0" tint="-0.24994659260841701"/>
                </patternFill>
              </fill>
            </x14:dxf>
          </x14:cfRule>
          <x14:cfRule type="containsText" priority="16432" operator="containsText" id="{D4537F31-98C5-4D94-BFC6-02EDE7410DDF}">
            <xm:f>NOT(ISERROR(SEARCH(Einstellungen!$A$11,G8)))</xm:f>
            <xm:f>Einstellungen!$A$11</xm:f>
            <x14:dxf>
              <font>
                <color theme="1"/>
              </font>
              <fill>
                <patternFill>
                  <bgColor theme="5" tint="0.39994506668294322"/>
                </patternFill>
              </fill>
            </x14:dxf>
          </x14:cfRule>
          <x14:cfRule type="containsText" priority="16433" operator="containsText" id="{E1C4D294-90D2-45F9-8398-0D8097BB0F71}">
            <xm:f>NOT(ISERROR(SEARCH(Einstellungen!$A$5,G8)))</xm:f>
            <xm:f>Einstellungen!$A$5</xm:f>
            <x14:dxf>
              <font>
                <color theme="0"/>
              </font>
              <fill>
                <patternFill>
                  <bgColor theme="2" tint="-0.749961851863155"/>
                </patternFill>
              </fill>
            </x14:dxf>
          </x14:cfRule>
          <x14:cfRule type="containsText" priority="16434" operator="containsText" id="{E8D52D0D-92DE-47F3-A2AA-BEB67575C5F0}">
            <xm:f>NOT(ISERROR(SEARCH(Einstellungen!$A$4,G8)))</xm:f>
            <xm:f>Einstellungen!$A$4</xm:f>
            <x14:dxf>
              <font>
                <color theme="1"/>
              </font>
              <fill>
                <patternFill>
                  <bgColor theme="0" tint="-0.24994659260841701"/>
                </patternFill>
              </fill>
            </x14:dxf>
          </x14:cfRule>
          <x14:cfRule type="containsText" priority="16435" operator="containsText" id="{095B7BE6-A1E4-4774-BA3B-196A84F4F311}">
            <xm:f>NOT(ISERROR(SEARCH(Einstellungen!$A$3,G8)))</xm:f>
            <xm:f>Einstellungen!$A$3</xm:f>
            <x14:dxf>
              <font>
                <color theme="0"/>
              </font>
              <fill>
                <patternFill>
                  <bgColor rgb="FF002060"/>
                </patternFill>
              </fill>
            </x14:dxf>
          </x14:cfRule>
          <x14:cfRule type="containsText" priority="16436" operator="containsText" id="{624BA00C-1291-4640-B6A6-91B7269E8269}">
            <xm:f>NOT(ISERROR(SEARCH(Einstellungen!$A$2,G8)))</xm:f>
            <xm:f>Einstellungen!$A$2</xm:f>
            <x14:dxf>
              <font>
                <color theme="0"/>
              </font>
              <fill>
                <patternFill>
                  <bgColor rgb="FF0070C0"/>
                </patternFill>
              </fill>
            </x14:dxf>
          </x14:cfRule>
          <x14:cfRule type="containsText" priority="16437" operator="containsText" id="{8CC36AFA-F39A-4828-A603-10134F774851}">
            <xm:f>NOT(ISERROR(SEARCH(Einstellungen!$A$1,G8)))</xm:f>
            <xm:f>Einstellungen!$A$1</xm:f>
            <x14:dxf>
              <font>
                <color theme="0"/>
              </font>
              <fill>
                <patternFill>
                  <bgColor rgb="FF00B050"/>
                </patternFill>
              </fill>
            </x14:dxf>
          </x14:cfRule>
          <x14:cfRule type="expression" priority="16438" id="{1970E990-17DA-4893-8EDF-02BCA1CCE496}">
            <xm:f>IF(VLOOKUP(G$4,Einstellungen!$E$2:$E$15,1,FALSE)=G$4,TRUE,FALSE)</xm:f>
            <x14:dxf>
              <fill>
                <patternFill>
                  <bgColor rgb="FFFFE593"/>
                </patternFill>
              </fill>
            </x14:dxf>
          </x14:cfRule>
          <x14:cfRule type="expression" priority="16439" id="{4DF1D8C9-7091-4F52-A1CB-E9B1953B66C1}">
            <xm:f>IF(VLOOKUP(G$7,Einstellungen!$E$2:$E$15,1,FALSE)=G$7,TRUE,FALSE)</xm:f>
            <x14:dxf>
              <fill>
                <patternFill>
                  <bgColor rgb="FFFFE593"/>
                </patternFill>
              </fill>
            </x14:dxf>
          </x14:cfRule>
          <x14:cfRule type="containsText" priority="16442" operator="containsText" id="{BFB6D04B-0D7D-4730-9B25-C63245776F27}">
            <xm:f>NOT(ISERROR(SEARCH(Einstellungen!$A$5,G8)))</xm:f>
            <xm:f>Einstellungen!$A$5</xm:f>
            <x14:dxf>
              <font>
                <color theme="1"/>
              </font>
              <fill>
                <patternFill>
                  <bgColor theme="0" tint="-0.24994659260841701"/>
                </patternFill>
              </fill>
            </x14:dxf>
          </x14:cfRule>
          <x14:cfRule type="containsText" priority="16443" operator="containsText" id="{89D81AA0-274D-4A29-A0FF-1222FC243F54}">
            <xm:f>NOT(ISERROR(SEARCH(Einstellungen!$A$4,G8)))</xm:f>
            <xm:f>Einstellungen!$A$4</xm:f>
            <x14:dxf>
              <font>
                <color theme="1"/>
              </font>
              <fill>
                <patternFill>
                  <bgColor theme="0" tint="-0.24994659260841701"/>
                </patternFill>
              </fill>
            </x14:dxf>
          </x14:cfRule>
          <x14:cfRule type="containsText" priority="16444" operator="containsText" id="{1B04A6B6-874B-4213-833C-C578193573F1}">
            <xm:f>NOT(ISERROR(SEARCH(Einstellungen!$A$3,G8)))</xm:f>
            <xm:f>Einstellungen!$A$3</xm:f>
            <x14:dxf>
              <font>
                <color theme="0"/>
              </font>
              <fill>
                <patternFill>
                  <bgColor rgb="FF002060"/>
                </patternFill>
              </fill>
            </x14:dxf>
          </x14:cfRule>
          <x14:cfRule type="containsText" priority="16445" operator="containsText" id="{6DB3C2A4-9D54-4148-8BBF-AAAD5CD388DD}">
            <xm:f>NOT(ISERROR(SEARCH(Einstellungen!$A$2,G8)))</xm:f>
            <xm:f>Einstellungen!$A$2</xm:f>
            <x14:dxf>
              <font>
                <color theme="0"/>
              </font>
              <fill>
                <patternFill>
                  <bgColor rgb="FF0070C0"/>
                </patternFill>
              </fill>
            </x14:dxf>
          </x14:cfRule>
          <x14:cfRule type="containsText" priority="16446" operator="containsText" id="{4017929C-90F3-4719-86C1-24F3BAF1D19E}">
            <xm:f>NOT(ISERROR(SEARCH(Einstellungen!$A$1,G8)))</xm:f>
            <xm:f>Einstellungen!$A$1</xm:f>
            <x14:dxf>
              <font>
                <color theme="0"/>
              </font>
              <fill>
                <patternFill>
                  <bgColor rgb="FF00B050"/>
                </patternFill>
              </fill>
            </x14:dxf>
          </x14:cfRule>
          <x14:cfRule type="expression" priority="16447" id="{78294E6F-F90B-46AD-A172-964F076E6AD4}">
            <xm:f>IF(VLOOKUP(G$4,Einstellungen!$E$2:$E$15,1,FALSE)=G$4,TRUE,FALSE)</xm:f>
            <x14:dxf>
              <fill>
                <patternFill>
                  <bgColor rgb="FFFFE593"/>
                </patternFill>
              </fill>
            </x14:dxf>
          </x14:cfRule>
          <x14:cfRule type="expression" priority="16448" id="{846C43AE-250B-4E54-AEF2-D16BC08F6231}">
            <xm:f>IF(VLOOKUP(G$7,Einstellungen!$E$2:$E$15,1,FALSE)=G$7,TRUE,FALSE)</xm:f>
            <x14:dxf>
              <fill>
                <patternFill>
                  <bgColor rgb="FFFFE593"/>
                </patternFill>
              </fill>
            </x14:dxf>
          </x14:cfRule>
          <x14:cfRule type="containsText" priority="16451" operator="containsText" id="{C7393A9A-5FAD-4905-8C62-08B5531536B5}">
            <xm:f>NOT(ISERROR(SEARCH(Einstellungen!$A$7,G8)))</xm:f>
            <xm:f>Einstellungen!$A$7</xm:f>
            <x14:dxf>
              <font>
                <color theme="1"/>
              </font>
              <fill>
                <patternFill>
                  <bgColor theme="7" tint="0.79998168889431442"/>
                </patternFill>
              </fill>
            </x14:dxf>
          </x14:cfRule>
          <x14:cfRule type="containsText" priority="16452" operator="containsText" id="{BF94CEBE-8341-438B-8F9A-C0616F58CDD8}">
            <xm:f>NOT(ISERROR(SEARCH(Einstellungen!$A$9,G8)))</xm:f>
            <xm:f>Einstellungen!$A$9</xm:f>
            <x14:dxf>
              <font>
                <color theme="0"/>
              </font>
              <fill>
                <patternFill>
                  <bgColor theme="2" tint="-0.749961851863155"/>
                </patternFill>
              </fill>
            </x14:dxf>
          </x14:cfRule>
          <x14:cfRule type="containsText" priority="16453" operator="containsText" id="{1412BD58-08A9-4825-A35C-D917F33D569D}">
            <xm:f>NOT(ISERROR(SEARCH(Einstellungen!$A$8,G8)))</xm:f>
            <xm:f>Einstellungen!$A$8</xm:f>
            <x14:dxf>
              <font>
                <color theme="1"/>
              </font>
              <fill>
                <patternFill>
                  <bgColor theme="7" tint="0.79998168889431442"/>
                </patternFill>
              </fill>
            </x14:dxf>
          </x14:cfRule>
          <x14:cfRule type="containsText" priority="16454" operator="containsText" id="{FE71A3EB-DFF8-428C-B839-1F770C21D50F}">
            <xm:f>NOT(ISERROR(SEARCH(Einstellungen!$A$17,G8)))</xm:f>
            <xm:f>Einstellungen!$A$17</xm:f>
            <x14:dxf>
              <font>
                <color theme="1"/>
              </font>
              <fill>
                <patternFill>
                  <bgColor theme="7" tint="-0.24994659260841701"/>
                </patternFill>
              </fill>
            </x14:dxf>
          </x14:cfRule>
          <x14:cfRule type="containsText" priority="16455" operator="containsText" id="{C71AB600-5DC1-4D6A-8115-AC5EF181BA32}">
            <xm:f>NOT(ISERROR(SEARCH(Einstellungen!$A$16,G8)))</xm:f>
            <xm:f>Einstellungen!$A$16</xm:f>
            <x14:dxf>
              <font>
                <color theme="1"/>
              </font>
              <fill>
                <patternFill>
                  <bgColor theme="7" tint="0.39994506668294322"/>
                </patternFill>
              </fill>
            </x14:dxf>
          </x14:cfRule>
          <x14:cfRule type="containsText" priority="16456" operator="containsText" id="{DC2C9013-E596-473B-9EBC-8CD55860C6E5}">
            <xm:f>NOT(ISERROR(SEARCH(Einstellungen!$A$15,G8)))</xm:f>
            <xm:f>Einstellungen!$A$15</xm:f>
            <x14:dxf>
              <font>
                <color theme="1"/>
              </font>
              <fill>
                <patternFill>
                  <bgColor theme="4" tint="0.39994506668294322"/>
                </patternFill>
              </fill>
            </x14:dxf>
          </x14:cfRule>
          <x14:cfRule type="containsText" priority="16457" operator="containsText" id="{033B6B1A-1691-4355-80EB-6DA1FA1FD2BE}">
            <xm:f>NOT(ISERROR(SEARCH(Einstellungen!$A$14,G8)))</xm:f>
            <xm:f>Einstellungen!$A$14</xm:f>
            <x14:dxf>
              <font>
                <color theme="1"/>
              </font>
              <fill>
                <patternFill>
                  <bgColor theme="0" tint="-0.24994659260841701"/>
                </patternFill>
              </fill>
            </x14:dxf>
          </x14:cfRule>
          <x14:cfRule type="containsText" priority="16458" operator="containsText" id="{EBE2A02C-5A84-441E-8590-F800D4F2CEC3}">
            <xm:f>NOT(ISERROR(SEARCH(Einstellungen!$A$12,G8)))</xm:f>
            <xm:f>Einstellungen!$A$12</xm:f>
            <x14:dxf>
              <font>
                <color theme="1"/>
              </font>
              <fill>
                <patternFill>
                  <bgColor theme="0" tint="-0.24994659260841701"/>
                </patternFill>
              </fill>
            </x14:dxf>
          </x14:cfRule>
          <x14:cfRule type="containsText" priority="16459" operator="containsText" id="{60AC01FA-7FDD-4BE7-8198-1639E9FF5A2B}">
            <xm:f>NOT(ISERROR(SEARCH(Einstellungen!$A$13,G8)))</xm:f>
            <xm:f>Einstellungen!$A$13</xm:f>
            <x14:dxf>
              <font>
                <color theme="1"/>
              </font>
              <fill>
                <patternFill>
                  <bgColor theme="0" tint="-0.24994659260841701"/>
                </patternFill>
              </fill>
            </x14:dxf>
          </x14:cfRule>
          <x14:cfRule type="containsText" priority="16460" operator="containsText" id="{0AA932DC-35C3-4A4C-84E9-7CD3E064048A}">
            <xm:f>NOT(ISERROR(SEARCH(Einstellungen!$A$11,G8)))</xm:f>
            <xm:f>Einstellungen!$A$11</xm:f>
            <x14:dxf>
              <font>
                <color theme="1"/>
              </font>
              <fill>
                <patternFill>
                  <bgColor theme="5" tint="0.39994506668294322"/>
                </patternFill>
              </fill>
            </x14:dxf>
          </x14:cfRule>
          <x14:cfRule type="containsText" priority="16461" operator="containsText" id="{26C9FED8-81BE-44C0-9EB8-24FF29F0CFB1}">
            <xm:f>NOT(ISERROR(SEARCH(Einstellungen!$A$5,G8)))</xm:f>
            <xm:f>Einstellungen!$A$5</xm:f>
            <x14:dxf>
              <font>
                <color theme="0"/>
              </font>
              <fill>
                <patternFill>
                  <bgColor theme="2" tint="-0.749961851863155"/>
                </patternFill>
              </fill>
            </x14:dxf>
          </x14:cfRule>
          <x14:cfRule type="containsText" priority="16462" operator="containsText" id="{5202C6C4-103A-4F7B-BA93-9DDF77EC6386}">
            <xm:f>NOT(ISERROR(SEARCH(Einstellungen!$A$4,G8)))</xm:f>
            <xm:f>Einstellungen!$A$4</xm:f>
            <x14:dxf>
              <font>
                <color theme="1"/>
              </font>
              <fill>
                <patternFill>
                  <bgColor theme="0" tint="-0.24994659260841701"/>
                </patternFill>
              </fill>
            </x14:dxf>
          </x14:cfRule>
          <x14:cfRule type="containsText" priority="16463" operator="containsText" id="{D281F4AE-3906-4B96-B861-A847BECB8F3D}">
            <xm:f>NOT(ISERROR(SEARCH(Einstellungen!$A$3,G8)))</xm:f>
            <xm:f>Einstellungen!$A$3</xm:f>
            <x14:dxf>
              <font>
                <color theme="0"/>
              </font>
              <fill>
                <patternFill>
                  <bgColor rgb="FF002060"/>
                </patternFill>
              </fill>
            </x14:dxf>
          </x14:cfRule>
          <x14:cfRule type="containsText" priority="16464" operator="containsText" id="{7B7237C0-A000-4BAF-9FE7-00C643C0DAAB}">
            <xm:f>NOT(ISERROR(SEARCH(Einstellungen!$A$2,G8)))</xm:f>
            <xm:f>Einstellungen!$A$2</xm:f>
            <x14:dxf>
              <font>
                <color theme="0"/>
              </font>
              <fill>
                <patternFill>
                  <bgColor rgb="FF0070C0"/>
                </patternFill>
              </fill>
            </x14:dxf>
          </x14:cfRule>
          <x14:cfRule type="containsText" priority="16465" operator="containsText" id="{B19A4EA1-63B6-468B-9069-DFF0DE6B8515}">
            <xm:f>NOT(ISERROR(SEARCH(Einstellungen!$A$1,G8)))</xm:f>
            <xm:f>Einstellungen!$A$1</xm:f>
            <x14:dxf>
              <font>
                <color theme="0"/>
              </font>
              <fill>
                <patternFill>
                  <bgColor rgb="FF00B050"/>
                </patternFill>
              </fill>
            </x14:dxf>
          </x14:cfRule>
          <x14:cfRule type="expression" priority="16466" id="{BF5C5B21-C36B-4D59-9788-CB1A432B90EF}">
            <xm:f>IF(VLOOKUP(G$4,Einstellungen!$E$2:$E$15,1,FALSE)=G$4,TRUE,FALSE)</xm:f>
            <x14:dxf>
              <fill>
                <patternFill>
                  <bgColor rgb="FFFFE593"/>
                </patternFill>
              </fill>
            </x14:dxf>
          </x14:cfRule>
          <x14:cfRule type="expression" priority="16467" id="{AA0423BB-AD81-4866-905A-C410AB86383E}">
            <xm:f>IF(VLOOKUP(G$7,Einstellungen!$E$2:$E$15,1,FALSE)=G$7,TRUE,FALSE)</xm:f>
            <x14:dxf>
              <fill>
                <patternFill>
                  <bgColor rgb="FFFFE593"/>
                </patternFill>
              </fill>
            </x14:dxf>
          </x14:cfRule>
          <x14:cfRule type="containsText" priority="16470" operator="containsText" id="{71F80D63-03EE-4AB3-B645-7A99DC124159}">
            <xm:f>NOT(ISERROR(SEARCH(Einstellungen!$A$5,G8)))</xm:f>
            <xm:f>Einstellungen!$A$5</xm:f>
            <x14:dxf>
              <font>
                <color theme="1"/>
              </font>
              <fill>
                <patternFill>
                  <bgColor theme="0" tint="-0.24994659260841701"/>
                </patternFill>
              </fill>
            </x14:dxf>
          </x14:cfRule>
          <x14:cfRule type="containsText" priority="16471" operator="containsText" id="{67B113E9-C1B8-4271-B7E7-A21FE2E7143F}">
            <xm:f>NOT(ISERROR(SEARCH(Einstellungen!$A$4,G8)))</xm:f>
            <xm:f>Einstellungen!$A$4</xm:f>
            <x14:dxf>
              <font>
                <color theme="1"/>
              </font>
              <fill>
                <patternFill>
                  <bgColor theme="0" tint="-0.24994659260841701"/>
                </patternFill>
              </fill>
            </x14:dxf>
          </x14:cfRule>
          <x14:cfRule type="containsText" priority="16472" operator="containsText" id="{E3631C57-77D6-475F-96DE-118FD17AEBEF}">
            <xm:f>NOT(ISERROR(SEARCH(Einstellungen!$A$3,G8)))</xm:f>
            <xm:f>Einstellungen!$A$3</xm:f>
            <x14:dxf>
              <font>
                <color theme="0"/>
              </font>
              <fill>
                <patternFill>
                  <bgColor rgb="FF002060"/>
                </patternFill>
              </fill>
            </x14:dxf>
          </x14:cfRule>
          <x14:cfRule type="containsText" priority="16473" operator="containsText" id="{745C2D7D-F8F4-4624-B59B-159F3391BF59}">
            <xm:f>NOT(ISERROR(SEARCH(Einstellungen!$A$2,G8)))</xm:f>
            <xm:f>Einstellungen!$A$2</xm:f>
            <x14:dxf>
              <font>
                <color theme="0"/>
              </font>
              <fill>
                <patternFill>
                  <bgColor rgb="FF0070C0"/>
                </patternFill>
              </fill>
            </x14:dxf>
          </x14:cfRule>
          <x14:cfRule type="containsText" priority="16474" operator="containsText" id="{324B6EA2-A39B-48B7-BB97-9201BFA2DE2A}">
            <xm:f>NOT(ISERROR(SEARCH(Einstellungen!$A$1,G8)))</xm:f>
            <xm:f>Einstellungen!$A$1</xm:f>
            <x14:dxf>
              <font>
                <color theme="0"/>
              </font>
              <fill>
                <patternFill>
                  <bgColor rgb="FF00B050"/>
                </patternFill>
              </fill>
            </x14:dxf>
          </x14:cfRule>
          <x14:cfRule type="expression" priority="16475" id="{14976321-9577-49EA-B207-30B3C7E3AF17}">
            <xm:f>IF(VLOOKUP(G$4,Einstellungen!$E$2:$E$15,1,FALSE)=G$4,TRUE,FALSE)</xm:f>
            <x14:dxf>
              <fill>
                <patternFill>
                  <bgColor rgb="FFFFE593"/>
                </patternFill>
              </fill>
            </x14:dxf>
          </x14:cfRule>
          <x14:cfRule type="expression" priority="16476" id="{2346A2DB-E771-4615-B6D1-E81CEFEC59B5}">
            <xm:f>IF(VLOOKUP(G$7,Einstellungen!$E$2:$E$15,1,FALSE)=G$7,TRUE,FALSE)</xm:f>
            <x14:dxf>
              <fill>
                <patternFill>
                  <bgColor rgb="FFFFE593"/>
                </patternFill>
              </fill>
            </x14:dxf>
          </x14:cfRule>
          <x14:cfRule type="containsText" priority="16537" operator="containsText" id="{C98E47E1-A20F-44AA-A75E-51FDB015AB24}">
            <xm:f>NOT(ISERROR(SEARCH(Einstellungen!$A$18,G8)))</xm:f>
            <xm:f>Einstellungen!$A$18</xm:f>
            <x14:dxf>
              <font>
                <color rgb="FFFFFF00"/>
              </font>
              <fill>
                <patternFill>
                  <bgColor theme="8" tint="-0.499984740745262"/>
                </patternFill>
              </fill>
            </x14:dxf>
          </x14:cfRule>
          <x14:cfRule type="containsText" priority="17574" operator="containsText" id="{8E3E90E0-0152-4A25-9E95-22465640BAB4}">
            <xm:f>NOT(ISERROR(SEARCH(Einstellungen!$A$7,G8)))</xm:f>
            <xm:f>Einstellungen!$A$7</xm:f>
            <x14:dxf>
              <font>
                <color theme="1"/>
              </font>
              <fill>
                <patternFill>
                  <bgColor theme="7" tint="0.79998168889431442"/>
                </patternFill>
              </fill>
            </x14:dxf>
          </x14:cfRule>
          <x14:cfRule type="containsText" priority="17575" operator="containsText" id="{B5CADE59-2020-4028-938E-A7014B162F47}">
            <xm:f>NOT(ISERROR(SEARCH(Einstellungen!$A$9,G8)))</xm:f>
            <xm:f>Einstellungen!$A$9</xm:f>
            <x14:dxf>
              <font>
                <color theme="0"/>
              </font>
              <fill>
                <patternFill>
                  <bgColor theme="2" tint="-0.749961851863155"/>
                </patternFill>
              </fill>
            </x14:dxf>
          </x14:cfRule>
          <x14:cfRule type="containsText" priority="17577" operator="containsText" id="{82A44CDF-E63C-4F0D-83D6-EE1A600EF17B}">
            <xm:f>NOT(ISERROR(SEARCH(Einstellungen!$A$8,G8)))</xm:f>
            <xm:f>Einstellungen!$A$8</xm:f>
            <x14:dxf>
              <font>
                <color theme="1"/>
              </font>
              <fill>
                <patternFill>
                  <bgColor theme="7" tint="0.79998168889431442"/>
                </patternFill>
              </fill>
            </x14:dxf>
          </x14:cfRule>
          <x14:cfRule type="containsText" priority="17578" operator="containsText" id="{B06C7C1B-3190-4675-BF78-4387DB0478D7}">
            <xm:f>NOT(ISERROR(SEARCH(Einstellungen!$A$17,G8)))</xm:f>
            <xm:f>Einstellungen!$A$17</xm:f>
            <x14:dxf>
              <font>
                <color theme="1"/>
              </font>
              <fill>
                <patternFill>
                  <bgColor theme="7" tint="-0.24994659260841701"/>
                </patternFill>
              </fill>
            </x14:dxf>
          </x14:cfRule>
          <x14:cfRule type="containsText" priority="17579" operator="containsText" id="{F4863B83-15DF-4BFF-B65C-B93376A1C173}">
            <xm:f>NOT(ISERROR(SEARCH(Einstellungen!$A$16,G8)))</xm:f>
            <xm:f>Einstellungen!$A$16</xm:f>
            <x14:dxf>
              <font>
                <color theme="1"/>
              </font>
              <fill>
                <patternFill>
                  <bgColor theme="7" tint="0.39994506668294322"/>
                </patternFill>
              </fill>
            </x14:dxf>
          </x14:cfRule>
          <x14:cfRule type="containsText" priority="17580" operator="containsText" id="{910C92DD-5E97-45BB-971D-4E7CE4B9C8EC}">
            <xm:f>NOT(ISERROR(SEARCH(Einstellungen!$A$15,G8)))</xm:f>
            <xm:f>Einstellungen!$A$15</xm:f>
            <x14:dxf>
              <font>
                <color theme="1"/>
              </font>
              <fill>
                <patternFill>
                  <bgColor theme="4" tint="0.39994506668294322"/>
                </patternFill>
              </fill>
            </x14:dxf>
          </x14:cfRule>
          <x14:cfRule type="containsText" priority="17581" operator="containsText" id="{3CC2BE23-D7C9-4F5E-8D06-3386A82E03FE}">
            <xm:f>NOT(ISERROR(SEARCH(Einstellungen!$A$14,G8)))</xm:f>
            <xm:f>Einstellungen!$A$14</xm:f>
            <x14:dxf>
              <font>
                <color theme="1"/>
              </font>
              <fill>
                <patternFill>
                  <bgColor theme="0" tint="-0.24994659260841701"/>
                </patternFill>
              </fill>
            </x14:dxf>
          </x14:cfRule>
          <x14:cfRule type="containsText" priority="17582" operator="containsText" id="{C119ABE5-B626-432B-AB47-1E700B8FAB19}">
            <xm:f>NOT(ISERROR(SEARCH(Einstellungen!$A$12,G8)))</xm:f>
            <xm:f>Einstellungen!$A$12</xm:f>
            <x14:dxf>
              <font>
                <color theme="1"/>
              </font>
              <fill>
                <patternFill>
                  <bgColor theme="0" tint="-0.24994659260841701"/>
                </patternFill>
              </fill>
            </x14:dxf>
          </x14:cfRule>
          <x14:cfRule type="containsText" priority="17583" operator="containsText" id="{091E3DDF-0EE9-4612-B01C-AA22D6620238}">
            <xm:f>NOT(ISERROR(SEARCH(Einstellungen!$A$13,G8)))</xm:f>
            <xm:f>Einstellungen!$A$13</xm:f>
            <x14:dxf>
              <font>
                <color theme="1"/>
              </font>
              <fill>
                <patternFill>
                  <bgColor theme="0" tint="-0.24994659260841701"/>
                </patternFill>
              </fill>
            </x14:dxf>
          </x14:cfRule>
          <x14:cfRule type="containsText" priority="17584" operator="containsText" id="{A1924ABE-AC6F-4CE9-BCF9-BB7BB4C82F65}">
            <xm:f>NOT(ISERROR(SEARCH(Einstellungen!$A$11,G8)))</xm:f>
            <xm:f>Einstellungen!$A$11</xm:f>
            <x14:dxf>
              <font>
                <color theme="1"/>
              </font>
              <fill>
                <patternFill>
                  <bgColor theme="5" tint="0.39994506668294322"/>
                </patternFill>
              </fill>
            </x14:dxf>
          </x14:cfRule>
          <x14:cfRule type="containsText" priority="17585" operator="containsText" id="{5BBD8BF8-610B-42BB-97FF-3880C2C92892}">
            <xm:f>NOT(ISERROR(SEARCH(Einstellungen!$A$5,G8)))</xm:f>
            <xm:f>Einstellungen!$A$5</xm:f>
            <x14:dxf>
              <font>
                <color theme="0"/>
              </font>
              <fill>
                <patternFill>
                  <bgColor theme="2" tint="-0.749961851863155"/>
                </patternFill>
              </fill>
            </x14:dxf>
          </x14:cfRule>
          <x14:cfRule type="containsText" priority="17586" operator="containsText" id="{2B00CA85-D13F-4ED7-A4B4-059BE8787734}">
            <xm:f>NOT(ISERROR(SEARCH(Einstellungen!$A$4,G8)))</xm:f>
            <xm:f>Einstellungen!$A$4</xm:f>
            <x14:dxf>
              <font>
                <color theme="1"/>
              </font>
              <fill>
                <patternFill>
                  <bgColor theme="0" tint="-0.24994659260841701"/>
                </patternFill>
              </fill>
            </x14:dxf>
          </x14:cfRule>
          <x14:cfRule type="containsText" priority="17587" operator="containsText" id="{93756FFE-EFA3-49A6-AF09-5FF9D27B7828}">
            <xm:f>NOT(ISERROR(SEARCH(Einstellungen!$A$3,G8)))</xm:f>
            <xm:f>Einstellungen!$A$3</xm:f>
            <x14:dxf>
              <font>
                <color theme="0"/>
              </font>
              <fill>
                <patternFill>
                  <bgColor rgb="FF002060"/>
                </patternFill>
              </fill>
            </x14:dxf>
          </x14:cfRule>
          <x14:cfRule type="containsText" priority="17588" operator="containsText" id="{1486FB20-27EA-4066-B479-5DAF2F313AD1}">
            <xm:f>NOT(ISERROR(SEARCH(Einstellungen!$A$2,G8)))</xm:f>
            <xm:f>Einstellungen!$A$2</xm:f>
            <x14:dxf>
              <font>
                <color theme="0"/>
              </font>
              <fill>
                <patternFill>
                  <bgColor rgb="FF0070C0"/>
                </patternFill>
              </fill>
            </x14:dxf>
          </x14:cfRule>
          <x14:cfRule type="containsText" priority="17589" operator="containsText" id="{80F9C751-49C3-4FB5-8DDF-4B64B3BE42FC}">
            <xm:f>NOT(ISERROR(SEARCH(Einstellungen!$A$1,G8)))</xm:f>
            <xm:f>Einstellungen!$A$1</xm:f>
            <x14:dxf>
              <font>
                <color theme="0"/>
              </font>
              <fill>
                <patternFill>
                  <bgColor rgb="FF00B050"/>
                </patternFill>
              </fill>
            </x14:dxf>
          </x14:cfRule>
          <x14:cfRule type="expression" priority="17590" id="{45E54C73-B90B-489E-B253-B34253122142}">
            <xm:f>IF(VLOOKUP(G$4,Einstellungen!$E$2:$E$15,1,FALSE)=G$4,TRUE,FALSE)</xm:f>
            <x14:dxf>
              <fill>
                <patternFill>
                  <bgColor rgb="FFFFE593"/>
                </patternFill>
              </fill>
            </x14:dxf>
          </x14:cfRule>
          <x14:cfRule type="expression" priority="17591" id="{53185A44-CFB7-46BE-9A30-66FDF911B41B}">
            <xm:f>IF(VLOOKUP(G$7,Einstellungen!$E$2:$E$15,1,FALSE)=G$7,TRUE,FALSE)</xm:f>
            <x14:dxf>
              <fill>
                <patternFill>
                  <bgColor rgb="FFFFE593"/>
                </patternFill>
              </fill>
            </x14:dxf>
          </x14:cfRule>
          <x14:cfRule type="containsText" priority="17610" operator="containsText" id="{6B8621A3-B8F3-46A6-BBF3-D6687BF40565}">
            <xm:f>NOT(ISERROR(SEARCH(Einstellungen!$A$5,G8)))</xm:f>
            <xm:f>Einstellungen!$A$5</xm:f>
            <x14:dxf>
              <font>
                <color theme="1"/>
              </font>
              <fill>
                <patternFill>
                  <bgColor theme="0" tint="-0.24994659260841701"/>
                </patternFill>
              </fill>
            </x14:dxf>
          </x14:cfRule>
          <x14:cfRule type="containsText" priority="17611" operator="containsText" id="{5124B989-7C18-4166-9F08-8481E314AFA2}">
            <xm:f>NOT(ISERROR(SEARCH(Einstellungen!$A$4,G8)))</xm:f>
            <xm:f>Einstellungen!$A$4</xm:f>
            <x14:dxf>
              <font>
                <color theme="1"/>
              </font>
              <fill>
                <patternFill>
                  <bgColor theme="0" tint="-0.24994659260841701"/>
                </patternFill>
              </fill>
            </x14:dxf>
          </x14:cfRule>
          <x14:cfRule type="containsText" priority="17612" operator="containsText" id="{7C304B8A-E889-4F28-9582-779DC400A316}">
            <xm:f>NOT(ISERROR(SEARCH(Einstellungen!$A$3,G8)))</xm:f>
            <xm:f>Einstellungen!$A$3</xm:f>
            <x14:dxf>
              <font>
                <color theme="0"/>
              </font>
              <fill>
                <patternFill>
                  <bgColor rgb="FF002060"/>
                </patternFill>
              </fill>
            </x14:dxf>
          </x14:cfRule>
          <x14:cfRule type="containsText" priority="17613" operator="containsText" id="{40BF2DE7-7E96-4219-A695-3D8C8914D9BE}">
            <xm:f>NOT(ISERROR(SEARCH(Einstellungen!$A$2,G8)))</xm:f>
            <xm:f>Einstellungen!$A$2</xm:f>
            <x14:dxf>
              <font>
                <color theme="0"/>
              </font>
              <fill>
                <patternFill>
                  <bgColor rgb="FF0070C0"/>
                </patternFill>
              </fill>
            </x14:dxf>
          </x14:cfRule>
          <x14:cfRule type="containsText" priority="17614" operator="containsText" id="{71079E77-F609-4A79-A7E3-ABCC12485D66}">
            <xm:f>NOT(ISERROR(SEARCH(Einstellungen!$A$1,G8)))</xm:f>
            <xm:f>Einstellungen!$A$1</xm:f>
            <x14:dxf>
              <font>
                <color theme="0"/>
              </font>
              <fill>
                <patternFill>
                  <bgColor rgb="FF00B050"/>
                </patternFill>
              </fill>
            </x14:dxf>
          </x14:cfRule>
          <xm:sqref>G8:NG11</xm:sqref>
        </x14:conditionalFormatting>
        <x14:conditionalFormatting xmlns:xm="http://schemas.microsoft.com/office/excel/2006/main">
          <x14:cfRule type="expression" priority="17615" id="{6DBDB38F-EB79-445D-82CB-5E64230986EC}">
            <xm:f>IF(VLOOKUP(G$4,Einstellungen!$E$2:$E$15,1,FALSE)=G$4,TRUE,FALSE)</xm:f>
            <x14:dxf>
              <fill>
                <patternFill>
                  <bgColor rgb="FFFFE593"/>
                </patternFill>
              </fill>
            </x14:dxf>
          </x14:cfRule>
          <x14:cfRule type="expression" priority="17621" id="{E7E35079-0EEB-41A5-9B94-670CBC7A3BF8}">
            <xm:f>IF(VLOOKUP(G$7,Einstellungen!$E$2:$E$15,1,FALSE)=G$7,TRUE,FALSE)</xm:f>
            <x14:dxf>
              <fill>
                <patternFill>
                  <bgColor rgb="FFFFE593"/>
                </patternFill>
              </fill>
            </x14:dxf>
          </x14:cfRule>
          <xm:sqref>G5:NG6</xm:sqref>
        </x14:conditionalFormatting>
        <x14:conditionalFormatting xmlns:xm="http://schemas.microsoft.com/office/excel/2006/main">
          <x14:cfRule type="containsText" priority="15496" operator="containsText" id="{7A07ED99-BD74-4328-9FE2-66400902E340}">
            <xm:f>NOT(ISERROR(SEARCH(Einstellungen!$A$19,G9)))</xm:f>
            <xm:f>Einstellungen!$A$19</xm:f>
            <x14:dxf>
              <font>
                <color theme="1"/>
              </font>
              <fill>
                <patternFill>
                  <bgColor theme="0" tint="-0.24994659260841701"/>
                </patternFill>
              </fill>
            </x14:dxf>
          </x14:cfRule>
          <xm:sqref>G25:NG25 G9:HB9 HG9:JT9 JV9:NG9</xm:sqref>
        </x14:conditionalFormatting>
        <x14:conditionalFormatting xmlns:xm="http://schemas.microsoft.com/office/excel/2006/main">
          <x14:cfRule type="containsText" priority="15497" operator="containsText" id="{5BE664C5-8A14-4579-B2CC-7680D7AAF5C4}">
            <xm:f>NOT(ISERROR(SEARCH(Einstellungen!$A$20,G25)))</xm:f>
            <xm:f>Einstellungen!$A$20</xm:f>
            <x14:dxf>
              <font>
                <color theme="1"/>
              </font>
              <fill>
                <patternFill>
                  <bgColor theme="0" tint="-0.24994659260841701"/>
                </patternFill>
              </fill>
            </x14:dxf>
          </x14:cfRule>
          <x14:cfRule type="containsText" priority="15498" operator="containsText" id="{46F47581-FEE4-4F5A-B09B-1A76A9C33C81}">
            <xm:f>NOT(ISERROR(SEARCH(Einstellungen!$A$7,G25)))</xm:f>
            <xm:f>Einstellungen!$A$7</xm:f>
            <x14:dxf>
              <font>
                <color theme="1"/>
              </font>
              <fill>
                <patternFill>
                  <bgColor theme="7" tint="0.79998168889431442"/>
                </patternFill>
              </fill>
            </x14:dxf>
          </x14:cfRule>
          <x14:cfRule type="containsText" priority="15499" operator="containsText" id="{D5801C6E-1EF2-449D-82E1-124B612A2E56}">
            <xm:f>NOT(ISERROR(SEARCH(Einstellungen!$A$9,G25)))</xm:f>
            <xm:f>Einstellungen!$A$9</xm:f>
            <x14:dxf>
              <font>
                <color theme="0"/>
              </font>
              <fill>
                <patternFill>
                  <bgColor theme="2" tint="-0.749961851863155"/>
                </patternFill>
              </fill>
            </x14:dxf>
          </x14:cfRule>
          <x14:cfRule type="containsText" priority="15500" operator="containsText" id="{09CFDE4A-7188-4744-8DD7-3D088C2B271D}">
            <xm:f>NOT(ISERROR(SEARCH(Einstellungen!$A$8,G25)))</xm:f>
            <xm:f>Einstellungen!$A$8</xm:f>
            <x14:dxf>
              <font>
                <color theme="1"/>
              </font>
              <fill>
                <patternFill>
                  <bgColor theme="7" tint="0.79998168889431442"/>
                </patternFill>
              </fill>
            </x14:dxf>
          </x14:cfRule>
          <x14:cfRule type="containsText" priority="15501" operator="containsText" id="{E53089C0-E7E3-42A1-9C9C-F18DD4BDBF7B}">
            <xm:f>NOT(ISERROR(SEARCH(Einstellungen!$A$17,G25)))</xm:f>
            <xm:f>Einstellungen!$A$17</xm:f>
            <x14:dxf>
              <font>
                <color theme="1"/>
              </font>
              <fill>
                <patternFill>
                  <bgColor theme="7" tint="-0.24994659260841701"/>
                </patternFill>
              </fill>
            </x14:dxf>
          </x14:cfRule>
          <x14:cfRule type="containsText" priority="15502" operator="containsText" id="{31ACE462-80EB-44CE-ACBC-0DC6D8E8F448}">
            <xm:f>NOT(ISERROR(SEARCH(Einstellungen!$A$16,G25)))</xm:f>
            <xm:f>Einstellungen!$A$16</xm:f>
            <x14:dxf>
              <font>
                <color theme="1"/>
              </font>
              <fill>
                <patternFill>
                  <bgColor theme="7" tint="0.39994506668294322"/>
                </patternFill>
              </fill>
            </x14:dxf>
          </x14:cfRule>
          <x14:cfRule type="containsText" priority="15503" operator="containsText" id="{B9752A75-F89D-45EC-A81E-897C43F1BA4E}">
            <xm:f>NOT(ISERROR(SEARCH(Einstellungen!$A$15,G25)))</xm:f>
            <xm:f>Einstellungen!$A$15</xm:f>
            <x14:dxf>
              <font>
                <color theme="1"/>
              </font>
              <fill>
                <patternFill>
                  <bgColor theme="4" tint="0.39994506668294322"/>
                </patternFill>
              </fill>
            </x14:dxf>
          </x14:cfRule>
          <x14:cfRule type="containsText" priority="15504" operator="containsText" id="{8AFE5FB3-3D1B-4F17-BB54-79FB46405B58}">
            <xm:f>NOT(ISERROR(SEARCH(Einstellungen!$A$14,G25)))</xm:f>
            <xm:f>Einstellungen!$A$14</xm:f>
            <x14:dxf>
              <font>
                <color theme="1"/>
              </font>
              <fill>
                <patternFill>
                  <bgColor theme="0" tint="-0.24994659260841701"/>
                </patternFill>
              </fill>
            </x14:dxf>
          </x14:cfRule>
          <x14:cfRule type="containsText" priority="15505" operator="containsText" id="{B051CF20-6685-41AB-87A2-3656530C973B}">
            <xm:f>NOT(ISERROR(SEARCH(Einstellungen!$A$12,G25)))</xm:f>
            <xm:f>Einstellungen!$A$12</xm:f>
            <x14:dxf>
              <font>
                <color theme="1"/>
              </font>
              <fill>
                <patternFill>
                  <bgColor theme="0" tint="-0.24994659260841701"/>
                </patternFill>
              </fill>
            </x14:dxf>
          </x14:cfRule>
          <x14:cfRule type="containsText" priority="15506" operator="containsText" id="{A012C7A3-1A34-42A5-BD2A-DCA0FB676843}">
            <xm:f>NOT(ISERROR(SEARCH(Einstellungen!$A$13,G25)))</xm:f>
            <xm:f>Einstellungen!$A$13</xm:f>
            <x14:dxf>
              <font>
                <color theme="1"/>
              </font>
              <fill>
                <patternFill>
                  <bgColor theme="0" tint="-0.24994659260841701"/>
                </patternFill>
              </fill>
            </x14:dxf>
          </x14:cfRule>
          <x14:cfRule type="containsText" priority="15507" operator="containsText" id="{82A24D0A-857D-470B-80DE-1695EE742C5A}">
            <xm:f>NOT(ISERROR(SEARCH(Einstellungen!$A$11,G25)))</xm:f>
            <xm:f>Einstellungen!$A$11</xm:f>
            <x14:dxf>
              <font>
                <color theme="1"/>
              </font>
              <fill>
                <patternFill>
                  <bgColor theme="5" tint="0.39994506668294322"/>
                </patternFill>
              </fill>
            </x14:dxf>
          </x14:cfRule>
          <x14:cfRule type="containsText" priority="15508" operator="containsText" id="{C3676CC6-21C5-4FF5-9A7F-152DBCB35BDC}">
            <xm:f>NOT(ISERROR(SEARCH(Einstellungen!$A$5,G25)))</xm:f>
            <xm:f>Einstellungen!$A$5</xm:f>
            <x14:dxf>
              <font>
                <color theme="0"/>
              </font>
              <fill>
                <patternFill>
                  <bgColor theme="2" tint="-0.749961851863155"/>
                </patternFill>
              </fill>
            </x14:dxf>
          </x14:cfRule>
          <x14:cfRule type="containsText" priority="15509" operator="containsText" id="{4876D44C-AECB-41D8-BCDB-64668CD946BB}">
            <xm:f>NOT(ISERROR(SEARCH(Einstellungen!$A$4,G25)))</xm:f>
            <xm:f>Einstellungen!$A$4</xm:f>
            <x14:dxf>
              <font>
                <color theme="1"/>
              </font>
              <fill>
                <patternFill>
                  <bgColor theme="0" tint="-0.24994659260841701"/>
                </patternFill>
              </fill>
            </x14:dxf>
          </x14:cfRule>
          <x14:cfRule type="containsText" priority="15510" operator="containsText" id="{041B8A2A-3250-4AD0-ACBA-C731080B6FCE}">
            <xm:f>NOT(ISERROR(SEARCH(Einstellungen!$A$3,G25)))</xm:f>
            <xm:f>Einstellungen!$A$3</xm:f>
            <x14:dxf>
              <font>
                <color theme="0"/>
              </font>
              <fill>
                <patternFill>
                  <bgColor rgb="FF002060"/>
                </patternFill>
              </fill>
            </x14:dxf>
          </x14:cfRule>
          <x14:cfRule type="containsText" priority="15511" operator="containsText" id="{72660CC0-50E7-4CBE-9268-909B44CF5AC4}">
            <xm:f>NOT(ISERROR(SEARCH(Einstellungen!$A$2,G25)))</xm:f>
            <xm:f>Einstellungen!$A$2</xm:f>
            <x14:dxf>
              <font>
                <color theme="0"/>
              </font>
              <fill>
                <patternFill>
                  <bgColor rgb="FF0070C0"/>
                </patternFill>
              </fill>
            </x14:dxf>
          </x14:cfRule>
          <x14:cfRule type="containsText" priority="15512" operator="containsText" id="{FB23CCA8-EE5B-42CE-865C-4EABD5A94AE6}">
            <xm:f>NOT(ISERROR(SEARCH(Einstellungen!$A$1,G25)))</xm:f>
            <xm:f>Einstellungen!$A$1</xm:f>
            <x14:dxf>
              <font>
                <color theme="0"/>
              </font>
              <fill>
                <patternFill>
                  <bgColor rgb="FF00B050"/>
                </patternFill>
              </fill>
            </x14:dxf>
          </x14:cfRule>
          <x14:cfRule type="expression" priority="15513" id="{A9C2F044-C6B2-4D71-B8E7-BEA97ABF3B7B}">
            <xm:f>IF(VLOOKUP(G$4,Einstellungen!$E$2:$E$15,1,FALSE)=G$4,TRUE,FALSE)</xm:f>
            <x14:dxf>
              <fill>
                <patternFill>
                  <bgColor rgb="FFFFE593"/>
                </patternFill>
              </fill>
            </x14:dxf>
          </x14:cfRule>
          <x14:cfRule type="expression" priority="15514" id="{AF208E2E-8028-4AB7-8F16-186972C14544}">
            <xm:f>IF(VLOOKUP(G$7,Einstellungen!$E$2:$E$15,1,FALSE)=G$7,TRUE,FALSE)</xm:f>
            <x14:dxf>
              <fill>
                <patternFill>
                  <bgColor rgb="FFFFE593"/>
                </patternFill>
              </fill>
            </x14:dxf>
          </x14:cfRule>
          <x14:cfRule type="containsText" priority="15517" operator="containsText" id="{984C1B2E-219A-461F-A033-735577AED810}">
            <xm:f>NOT(ISERROR(SEARCH(Einstellungen!$A$5,G25)))</xm:f>
            <xm:f>Einstellungen!$A$5</xm:f>
            <x14:dxf>
              <font>
                <color theme="1"/>
              </font>
              <fill>
                <patternFill>
                  <bgColor theme="0" tint="-0.24994659260841701"/>
                </patternFill>
              </fill>
            </x14:dxf>
          </x14:cfRule>
          <x14:cfRule type="containsText" priority="15518" operator="containsText" id="{38A5350D-4383-4E13-9D96-42E57998D890}">
            <xm:f>NOT(ISERROR(SEARCH(Einstellungen!$A$4,G25)))</xm:f>
            <xm:f>Einstellungen!$A$4</xm:f>
            <x14:dxf>
              <font>
                <color theme="1"/>
              </font>
              <fill>
                <patternFill>
                  <bgColor theme="0" tint="-0.24994659260841701"/>
                </patternFill>
              </fill>
            </x14:dxf>
          </x14:cfRule>
          <x14:cfRule type="containsText" priority="15519" operator="containsText" id="{34645547-17EC-4703-B5A8-76D131DA136B}">
            <xm:f>NOT(ISERROR(SEARCH(Einstellungen!$A$3,G25)))</xm:f>
            <xm:f>Einstellungen!$A$3</xm:f>
            <x14:dxf>
              <font>
                <color theme="0"/>
              </font>
              <fill>
                <patternFill>
                  <bgColor rgb="FF002060"/>
                </patternFill>
              </fill>
            </x14:dxf>
          </x14:cfRule>
          <x14:cfRule type="containsText" priority="15520" operator="containsText" id="{3E6EFA8B-2045-4EC9-8397-26B1482A4DE2}">
            <xm:f>NOT(ISERROR(SEARCH(Einstellungen!$A$2,G25)))</xm:f>
            <xm:f>Einstellungen!$A$2</xm:f>
            <x14:dxf>
              <font>
                <color theme="0"/>
              </font>
              <fill>
                <patternFill>
                  <bgColor rgb="FF0070C0"/>
                </patternFill>
              </fill>
            </x14:dxf>
          </x14:cfRule>
          <x14:cfRule type="containsText" priority="15521" operator="containsText" id="{87E64E56-0D4B-4265-9483-D2972EA469D0}">
            <xm:f>NOT(ISERROR(SEARCH(Einstellungen!$A$1,G25)))</xm:f>
            <xm:f>Einstellungen!$A$1</xm:f>
            <x14:dxf>
              <font>
                <color theme="0"/>
              </font>
              <fill>
                <patternFill>
                  <bgColor rgb="FF00B050"/>
                </patternFill>
              </fill>
            </x14:dxf>
          </x14:cfRule>
          <x14:cfRule type="expression" priority="15522" id="{02746435-CADB-470D-8567-69DA8BDFA1F7}">
            <xm:f>IF(VLOOKUP(G$4,Einstellungen!$E$2:$E$15,1,FALSE)=G$4,TRUE,FALSE)</xm:f>
            <x14:dxf>
              <fill>
                <patternFill>
                  <bgColor rgb="FFFFE593"/>
                </patternFill>
              </fill>
            </x14:dxf>
          </x14:cfRule>
          <x14:cfRule type="expression" priority="15523" id="{128DE08A-6AFD-4B81-826E-69B57C4ED9EF}">
            <xm:f>IF(VLOOKUP(G$7,Einstellungen!$E$2:$E$15,1,FALSE)=G$7,TRUE,FALSE)</xm:f>
            <x14:dxf>
              <fill>
                <patternFill>
                  <bgColor rgb="FFFFE593"/>
                </patternFill>
              </fill>
            </x14:dxf>
          </x14:cfRule>
          <x14:cfRule type="containsText" priority="15526" operator="containsText" id="{A0E4B936-9411-4575-9627-788D2A4CA111}">
            <xm:f>NOT(ISERROR(SEARCH(Einstellungen!$A$7,G25)))</xm:f>
            <xm:f>Einstellungen!$A$7</xm:f>
            <x14:dxf>
              <font>
                <color theme="1"/>
              </font>
              <fill>
                <patternFill>
                  <bgColor theme="7" tint="0.79998168889431442"/>
                </patternFill>
              </fill>
            </x14:dxf>
          </x14:cfRule>
          <x14:cfRule type="containsText" priority="15527" operator="containsText" id="{E15C6E0E-8626-44F0-AFDB-C7F1DCC2583B}">
            <xm:f>NOT(ISERROR(SEARCH(Einstellungen!$A$9,G25)))</xm:f>
            <xm:f>Einstellungen!$A$9</xm:f>
            <x14:dxf>
              <font>
                <color theme="0"/>
              </font>
              <fill>
                <patternFill>
                  <bgColor theme="2" tint="-0.749961851863155"/>
                </patternFill>
              </fill>
            </x14:dxf>
          </x14:cfRule>
          <x14:cfRule type="containsText" priority="15528" operator="containsText" id="{6DBD9E94-5528-4E09-8762-E45D870D5478}">
            <xm:f>NOT(ISERROR(SEARCH(Einstellungen!$A$8,G25)))</xm:f>
            <xm:f>Einstellungen!$A$8</xm:f>
            <x14:dxf>
              <font>
                <color theme="1"/>
              </font>
              <fill>
                <patternFill>
                  <bgColor theme="7" tint="0.79998168889431442"/>
                </patternFill>
              </fill>
            </x14:dxf>
          </x14:cfRule>
          <x14:cfRule type="containsText" priority="15529" operator="containsText" id="{A818B10E-B993-4AA3-B5FC-A2DEDDBC461B}">
            <xm:f>NOT(ISERROR(SEARCH(Einstellungen!$A$17,G25)))</xm:f>
            <xm:f>Einstellungen!$A$17</xm:f>
            <x14:dxf>
              <font>
                <color theme="1"/>
              </font>
              <fill>
                <patternFill>
                  <bgColor theme="7" tint="-0.24994659260841701"/>
                </patternFill>
              </fill>
            </x14:dxf>
          </x14:cfRule>
          <x14:cfRule type="containsText" priority="15530" operator="containsText" id="{FE1BFFEE-43CB-4F85-8307-C1DE94FC7790}">
            <xm:f>NOT(ISERROR(SEARCH(Einstellungen!$A$16,G25)))</xm:f>
            <xm:f>Einstellungen!$A$16</xm:f>
            <x14:dxf>
              <font>
                <color theme="1"/>
              </font>
              <fill>
                <patternFill>
                  <bgColor theme="7" tint="0.39994506668294322"/>
                </patternFill>
              </fill>
            </x14:dxf>
          </x14:cfRule>
          <x14:cfRule type="containsText" priority="15531" operator="containsText" id="{A2D43754-6AB6-477D-AE37-1A720C8FAAD9}">
            <xm:f>NOT(ISERROR(SEARCH(Einstellungen!$A$15,G25)))</xm:f>
            <xm:f>Einstellungen!$A$15</xm:f>
            <x14:dxf>
              <font>
                <color theme="1"/>
              </font>
              <fill>
                <patternFill>
                  <bgColor theme="4" tint="0.39994506668294322"/>
                </patternFill>
              </fill>
            </x14:dxf>
          </x14:cfRule>
          <x14:cfRule type="containsText" priority="15532" operator="containsText" id="{42051496-8BE6-4874-A0DD-FA52D5666EDE}">
            <xm:f>NOT(ISERROR(SEARCH(Einstellungen!$A$14,G25)))</xm:f>
            <xm:f>Einstellungen!$A$14</xm:f>
            <x14:dxf>
              <font>
                <color theme="1"/>
              </font>
              <fill>
                <patternFill>
                  <bgColor theme="0" tint="-0.24994659260841701"/>
                </patternFill>
              </fill>
            </x14:dxf>
          </x14:cfRule>
          <x14:cfRule type="containsText" priority="15533" operator="containsText" id="{9EAC045C-279B-4843-863B-E9BFEEFE7ECA}">
            <xm:f>NOT(ISERROR(SEARCH(Einstellungen!$A$12,G25)))</xm:f>
            <xm:f>Einstellungen!$A$12</xm:f>
            <x14:dxf>
              <font>
                <color theme="1"/>
              </font>
              <fill>
                <patternFill>
                  <bgColor theme="0" tint="-0.24994659260841701"/>
                </patternFill>
              </fill>
            </x14:dxf>
          </x14:cfRule>
          <x14:cfRule type="containsText" priority="15534" operator="containsText" id="{BE2F5295-A9CE-4B7A-9C14-87C6754210ED}">
            <xm:f>NOT(ISERROR(SEARCH(Einstellungen!$A$13,G25)))</xm:f>
            <xm:f>Einstellungen!$A$13</xm:f>
            <x14:dxf>
              <font>
                <color theme="1"/>
              </font>
              <fill>
                <patternFill>
                  <bgColor theme="0" tint="-0.24994659260841701"/>
                </patternFill>
              </fill>
            </x14:dxf>
          </x14:cfRule>
          <x14:cfRule type="containsText" priority="15535" operator="containsText" id="{3C2DAEEE-037D-491E-B94D-D9F1277349B2}">
            <xm:f>NOT(ISERROR(SEARCH(Einstellungen!$A$11,G25)))</xm:f>
            <xm:f>Einstellungen!$A$11</xm:f>
            <x14:dxf>
              <font>
                <color theme="1"/>
              </font>
              <fill>
                <patternFill>
                  <bgColor theme="5" tint="0.39994506668294322"/>
                </patternFill>
              </fill>
            </x14:dxf>
          </x14:cfRule>
          <x14:cfRule type="containsText" priority="15536" operator="containsText" id="{F566DCC0-CDDF-4A2F-AB41-45D752F3262A}">
            <xm:f>NOT(ISERROR(SEARCH(Einstellungen!$A$5,G25)))</xm:f>
            <xm:f>Einstellungen!$A$5</xm:f>
            <x14:dxf>
              <font>
                <color theme="0"/>
              </font>
              <fill>
                <patternFill>
                  <bgColor theme="2" tint="-0.749961851863155"/>
                </patternFill>
              </fill>
            </x14:dxf>
          </x14:cfRule>
          <x14:cfRule type="containsText" priority="15537" operator="containsText" id="{D9441068-3A2B-4304-9ECA-E9E8E2137178}">
            <xm:f>NOT(ISERROR(SEARCH(Einstellungen!$A$4,G25)))</xm:f>
            <xm:f>Einstellungen!$A$4</xm:f>
            <x14:dxf>
              <font>
                <color theme="1"/>
              </font>
              <fill>
                <patternFill>
                  <bgColor theme="0" tint="-0.24994659260841701"/>
                </patternFill>
              </fill>
            </x14:dxf>
          </x14:cfRule>
          <x14:cfRule type="containsText" priority="15538" operator="containsText" id="{B33FECB1-AED8-4586-8146-0FED9A69412D}">
            <xm:f>NOT(ISERROR(SEARCH(Einstellungen!$A$3,G25)))</xm:f>
            <xm:f>Einstellungen!$A$3</xm:f>
            <x14:dxf>
              <font>
                <color theme="0"/>
              </font>
              <fill>
                <patternFill>
                  <bgColor rgb="FF002060"/>
                </patternFill>
              </fill>
            </x14:dxf>
          </x14:cfRule>
          <x14:cfRule type="containsText" priority="15539" operator="containsText" id="{0364DBE9-7215-4037-9EE6-24EA19C48991}">
            <xm:f>NOT(ISERROR(SEARCH(Einstellungen!$A$2,G25)))</xm:f>
            <xm:f>Einstellungen!$A$2</xm:f>
            <x14:dxf>
              <font>
                <color theme="0"/>
              </font>
              <fill>
                <patternFill>
                  <bgColor rgb="FF0070C0"/>
                </patternFill>
              </fill>
            </x14:dxf>
          </x14:cfRule>
          <x14:cfRule type="containsText" priority="15540" operator="containsText" id="{FF42DC8C-6906-4201-9925-FDD19DDCBE5E}">
            <xm:f>NOT(ISERROR(SEARCH(Einstellungen!$A$1,G25)))</xm:f>
            <xm:f>Einstellungen!$A$1</xm:f>
            <x14:dxf>
              <font>
                <color theme="0"/>
              </font>
              <fill>
                <patternFill>
                  <bgColor rgb="FF00B050"/>
                </patternFill>
              </fill>
            </x14:dxf>
          </x14:cfRule>
          <x14:cfRule type="expression" priority="15541" id="{779AC1F0-9C97-4AC1-976C-C3FD42756334}">
            <xm:f>IF(VLOOKUP(G$4,Einstellungen!$E$2:$E$15,1,FALSE)=G$4,TRUE,FALSE)</xm:f>
            <x14:dxf>
              <fill>
                <patternFill>
                  <bgColor rgb="FFFFE593"/>
                </patternFill>
              </fill>
            </x14:dxf>
          </x14:cfRule>
          <x14:cfRule type="expression" priority="15542" id="{6CE233D5-5C27-4014-B385-4EBAE78ABF35}">
            <xm:f>IF(VLOOKUP(G$7,Einstellungen!$E$2:$E$15,1,FALSE)=G$7,TRUE,FALSE)</xm:f>
            <x14:dxf>
              <fill>
                <patternFill>
                  <bgColor rgb="FFFFE593"/>
                </patternFill>
              </fill>
            </x14:dxf>
          </x14:cfRule>
          <x14:cfRule type="containsText" priority="15545" operator="containsText" id="{79FB84E9-D92E-4F1B-AB83-9202E71C9D3B}">
            <xm:f>NOT(ISERROR(SEARCH(Einstellungen!$A$5,G25)))</xm:f>
            <xm:f>Einstellungen!$A$5</xm:f>
            <x14:dxf>
              <font>
                <color theme="1"/>
              </font>
              <fill>
                <patternFill>
                  <bgColor theme="0" tint="-0.24994659260841701"/>
                </patternFill>
              </fill>
            </x14:dxf>
          </x14:cfRule>
          <x14:cfRule type="containsText" priority="15546" operator="containsText" id="{DF998195-8F1F-4304-AB03-D8B7CEDCAE93}">
            <xm:f>NOT(ISERROR(SEARCH(Einstellungen!$A$3,G25)))</xm:f>
            <xm:f>Einstellungen!$A$3</xm:f>
            <x14:dxf>
              <font>
                <color theme="0"/>
              </font>
              <fill>
                <patternFill>
                  <bgColor rgb="FF002060"/>
                </patternFill>
              </fill>
            </x14:dxf>
          </x14:cfRule>
          <x14:cfRule type="containsText" priority="15547" operator="containsText" id="{9300C9D0-FF8D-4FA7-8934-AF0BA15DABBB}">
            <xm:f>NOT(ISERROR(SEARCH(Einstellungen!$A$2,G25)))</xm:f>
            <xm:f>Einstellungen!$A$2</xm:f>
            <x14:dxf>
              <font>
                <color theme="0"/>
              </font>
              <fill>
                <patternFill>
                  <bgColor rgb="FF0070C0"/>
                </patternFill>
              </fill>
            </x14:dxf>
          </x14:cfRule>
          <x14:cfRule type="containsText" priority="15548" operator="containsText" id="{E1408CEC-3892-4665-BB47-11AF24AEDF54}">
            <xm:f>NOT(ISERROR(SEARCH(Einstellungen!$A$1,G25)))</xm:f>
            <xm:f>Einstellungen!$A$1</xm:f>
            <x14:dxf>
              <font>
                <color theme="0"/>
              </font>
              <fill>
                <patternFill>
                  <bgColor rgb="FF00B050"/>
                </patternFill>
              </fill>
            </x14:dxf>
          </x14:cfRule>
          <x14:cfRule type="expression" priority="15549" id="{279258DB-98DF-450E-88B5-EC1235BFC536}">
            <xm:f>IF(VLOOKUP(G$4,Einstellungen!$E$2:$E$15,1,FALSE)=G$4,TRUE,FALSE)</xm:f>
            <x14:dxf>
              <fill>
                <patternFill>
                  <bgColor rgb="FFFFE593"/>
                </patternFill>
              </fill>
            </x14:dxf>
          </x14:cfRule>
          <x14:cfRule type="expression" priority="15550" id="{1BE0A412-6A98-44CD-9D48-2E7F57463D08}">
            <xm:f>IF(VLOOKUP(G$7,Einstellungen!$E$2:$E$15,1,FALSE)=G$7,TRUE,FALSE)</xm:f>
            <x14:dxf>
              <fill>
                <patternFill>
                  <bgColor rgb="FFFFE593"/>
                </patternFill>
              </fill>
            </x14:dxf>
          </x14:cfRule>
          <x14:cfRule type="containsText" priority="15553" operator="containsText" id="{0C1D05EF-82A4-4E33-A87F-D0CC783413D0}">
            <xm:f>NOT(ISERROR(SEARCH(Einstellungen!$A$7,G25)))</xm:f>
            <xm:f>Einstellungen!$A$7</xm:f>
            <x14:dxf>
              <font>
                <color theme="1"/>
              </font>
              <fill>
                <patternFill>
                  <bgColor theme="7" tint="0.79998168889431442"/>
                </patternFill>
              </fill>
            </x14:dxf>
          </x14:cfRule>
          <x14:cfRule type="containsText" priority="15554" operator="containsText" id="{8CB976AD-B6E7-4283-B78D-D20BC68379CC}">
            <xm:f>NOT(ISERROR(SEARCH(Einstellungen!$A$9,G25)))</xm:f>
            <xm:f>Einstellungen!$A$9</xm:f>
            <x14:dxf>
              <font>
                <color theme="0"/>
              </font>
              <fill>
                <patternFill>
                  <bgColor theme="2" tint="-0.749961851863155"/>
                </patternFill>
              </fill>
            </x14:dxf>
          </x14:cfRule>
          <x14:cfRule type="containsText" priority="15555" operator="containsText" id="{D0553641-5EB8-4459-9336-D1C51A5406F7}">
            <xm:f>NOT(ISERROR(SEARCH(Einstellungen!$A$8,G25)))</xm:f>
            <xm:f>Einstellungen!$A$8</xm:f>
            <x14:dxf>
              <font>
                <color theme="1"/>
              </font>
              <fill>
                <patternFill>
                  <bgColor theme="7" tint="0.79998168889431442"/>
                </patternFill>
              </fill>
            </x14:dxf>
          </x14:cfRule>
          <x14:cfRule type="containsText" priority="15556" operator="containsText" id="{A66F188A-A495-46BA-805A-75F346471462}">
            <xm:f>NOT(ISERROR(SEARCH(Einstellungen!$A$17,G25)))</xm:f>
            <xm:f>Einstellungen!$A$17</xm:f>
            <x14:dxf>
              <font>
                <color theme="1"/>
              </font>
              <fill>
                <patternFill>
                  <bgColor theme="7" tint="-0.24994659260841701"/>
                </patternFill>
              </fill>
            </x14:dxf>
          </x14:cfRule>
          <x14:cfRule type="containsText" priority="15557" operator="containsText" id="{BA97C68E-0445-4D54-AEEB-28F935E93A56}">
            <xm:f>NOT(ISERROR(SEARCH(Einstellungen!$A$16,G25)))</xm:f>
            <xm:f>Einstellungen!$A$16</xm:f>
            <x14:dxf>
              <font>
                <color theme="1"/>
              </font>
              <fill>
                <patternFill>
                  <bgColor theme="7" tint="0.39994506668294322"/>
                </patternFill>
              </fill>
            </x14:dxf>
          </x14:cfRule>
          <x14:cfRule type="containsText" priority="15558" operator="containsText" id="{43DAABFC-CFDC-427A-9D24-8B786D36B2D5}">
            <xm:f>NOT(ISERROR(SEARCH(Einstellungen!$A$15,G25)))</xm:f>
            <xm:f>Einstellungen!$A$15</xm:f>
            <x14:dxf>
              <font>
                <color theme="1"/>
              </font>
              <fill>
                <patternFill>
                  <bgColor theme="4" tint="0.39994506668294322"/>
                </patternFill>
              </fill>
            </x14:dxf>
          </x14:cfRule>
          <x14:cfRule type="containsText" priority="15559" operator="containsText" id="{C2DE3576-EDB6-4B56-805C-5EAA86C4A71D}">
            <xm:f>NOT(ISERROR(SEARCH(Einstellungen!$A$14,G25)))</xm:f>
            <xm:f>Einstellungen!$A$14</xm:f>
            <x14:dxf>
              <font>
                <color theme="1"/>
              </font>
              <fill>
                <patternFill>
                  <bgColor theme="0" tint="-0.24994659260841701"/>
                </patternFill>
              </fill>
            </x14:dxf>
          </x14:cfRule>
          <x14:cfRule type="containsText" priority="15560" operator="containsText" id="{F0B565CF-F709-4E11-86C2-2A61713B6138}">
            <xm:f>NOT(ISERROR(SEARCH(Einstellungen!$A$12,G25)))</xm:f>
            <xm:f>Einstellungen!$A$12</xm:f>
            <x14:dxf>
              <font>
                <color theme="1"/>
              </font>
              <fill>
                <patternFill>
                  <bgColor theme="0" tint="-0.24994659260841701"/>
                </patternFill>
              </fill>
            </x14:dxf>
          </x14:cfRule>
          <x14:cfRule type="containsText" priority="15561" operator="containsText" id="{DFF64DA8-D71A-49B7-893A-390F55531D12}">
            <xm:f>NOT(ISERROR(SEARCH(Einstellungen!$A$13,G25)))</xm:f>
            <xm:f>Einstellungen!$A$13</xm:f>
            <x14:dxf>
              <font>
                <color theme="1"/>
              </font>
              <fill>
                <patternFill>
                  <bgColor theme="0" tint="-0.24994659260841701"/>
                </patternFill>
              </fill>
            </x14:dxf>
          </x14:cfRule>
          <x14:cfRule type="containsText" priority="15562" operator="containsText" id="{C81E85EE-5A5D-406E-A8D3-4D53BFEF49AD}">
            <xm:f>NOT(ISERROR(SEARCH(Einstellungen!$A$11,G25)))</xm:f>
            <xm:f>Einstellungen!$A$11</xm:f>
            <x14:dxf>
              <font>
                <color theme="1"/>
              </font>
              <fill>
                <patternFill>
                  <bgColor theme="5" tint="0.39994506668294322"/>
                </patternFill>
              </fill>
            </x14:dxf>
          </x14:cfRule>
          <x14:cfRule type="containsText" priority="15563" operator="containsText" id="{1B84C3FC-5D93-497B-AFD3-F3721A3C82C5}">
            <xm:f>NOT(ISERROR(SEARCH(Einstellungen!$A$5,G25)))</xm:f>
            <xm:f>Einstellungen!$A$5</xm:f>
            <x14:dxf>
              <font>
                <color theme="0"/>
              </font>
              <fill>
                <patternFill>
                  <bgColor theme="2" tint="-0.749961851863155"/>
                </patternFill>
              </fill>
            </x14:dxf>
          </x14:cfRule>
          <x14:cfRule type="containsText" priority="15564" operator="containsText" id="{265F006A-3B29-4629-8497-CC9FBCA57285}">
            <xm:f>NOT(ISERROR(SEARCH(Einstellungen!$A$4,G25)))</xm:f>
            <xm:f>Einstellungen!$A$4</xm:f>
            <x14:dxf>
              <font>
                <color theme="1"/>
              </font>
              <fill>
                <patternFill>
                  <bgColor theme="0" tint="-0.24994659260841701"/>
                </patternFill>
              </fill>
            </x14:dxf>
          </x14:cfRule>
          <x14:cfRule type="containsText" priority="15565" operator="containsText" id="{9BF8DD8A-4D8F-4359-AD12-49783F7D3D4A}">
            <xm:f>NOT(ISERROR(SEARCH(Einstellungen!$A$3,G25)))</xm:f>
            <xm:f>Einstellungen!$A$3</xm:f>
            <x14:dxf>
              <font>
                <color theme="0"/>
              </font>
              <fill>
                <patternFill>
                  <bgColor rgb="FF002060"/>
                </patternFill>
              </fill>
            </x14:dxf>
          </x14:cfRule>
          <x14:cfRule type="containsText" priority="15566" operator="containsText" id="{99554F89-84A9-430C-B46F-A6DB6560D080}">
            <xm:f>NOT(ISERROR(SEARCH(Einstellungen!$A$2,G25)))</xm:f>
            <xm:f>Einstellungen!$A$2</xm:f>
            <x14:dxf>
              <font>
                <color theme="0"/>
              </font>
              <fill>
                <patternFill>
                  <bgColor rgb="FF0070C0"/>
                </patternFill>
              </fill>
            </x14:dxf>
          </x14:cfRule>
          <x14:cfRule type="containsText" priority="15567" operator="containsText" id="{6E32EB3B-FCA2-4DCE-A4E9-FEA2A265B64C}">
            <xm:f>NOT(ISERROR(SEARCH(Einstellungen!$A$1,G25)))</xm:f>
            <xm:f>Einstellungen!$A$1</xm:f>
            <x14:dxf>
              <font>
                <color theme="0"/>
              </font>
              <fill>
                <patternFill>
                  <bgColor rgb="FF00B050"/>
                </patternFill>
              </fill>
            </x14:dxf>
          </x14:cfRule>
          <x14:cfRule type="expression" priority="15568" id="{AB66085A-3BE2-4CE5-A268-228C5D0C561F}">
            <xm:f>IF(VLOOKUP(G$4,Einstellungen!$E$2:$E$15,1,FALSE)=G$4,TRUE,FALSE)</xm:f>
            <x14:dxf>
              <fill>
                <patternFill>
                  <bgColor rgb="FFFFE593"/>
                </patternFill>
              </fill>
            </x14:dxf>
          </x14:cfRule>
          <x14:cfRule type="expression" priority="15569" id="{D3F7276E-813C-4442-804F-56F243CACDD6}">
            <xm:f>IF(VLOOKUP(G$7,Einstellungen!$E$2:$E$15,1,FALSE)=G$7,TRUE,FALSE)</xm:f>
            <x14:dxf>
              <fill>
                <patternFill>
                  <bgColor rgb="FFFFE593"/>
                </patternFill>
              </fill>
            </x14:dxf>
          </x14:cfRule>
          <x14:cfRule type="containsText" priority="15572" operator="containsText" id="{B48204A7-16DA-4932-9D05-A5450CBCA6EF}">
            <xm:f>NOT(ISERROR(SEARCH(Einstellungen!$A$5,G25)))</xm:f>
            <xm:f>Einstellungen!$A$5</xm:f>
            <x14:dxf>
              <font>
                <color theme="1"/>
              </font>
              <fill>
                <patternFill>
                  <bgColor theme="0" tint="-0.24994659260841701"/>
                </patternFill>
              </fill>
            </x14:dxf>
          </x14:cfRule>
          <x14:cfRule type="containsText" priority="15573" operator="containsText" id="{77C372B2-E98E-432B-8089-91C7ACD91F4F}">
            <xm:f>NOT(ISERROR(SEARCH(Einstellungen!$A$4,G25)))</xm:f>
            <xm:f>Einstellungen!$A$4</xm:f>
            <x14:dxf>
              <font>
                <color theme="1"/>
              </font>
              <fill>
                <patternFill>
                  <bgColor theme="0" tint="-0.24994659260841701"/>
                </patternFill>
              </fill>
            </x14:dxf>
          </x14:cfRule>
          <x14:cfRule type="containsText" priority="15574" operator="containsText" id="{6FA01E09-B940-44EA-8738-D813CDF8B685}">
            <xm:f>NOT(ISERROR(SEARCH(Einstellungen!$A$3,G25)))</xm:f>
            <xm:f>Einstellungen!$A$3</xm:f>
            <x14:dxf>
              <font>
                <color theme="0"/>
              </font>
              <fill>
                <patternFill>
                  <bgColor rgb="FF002060"/>
                </patternFill>
              </fill>
            </x14:dxf>
          </x14:cfRule>
          <x14:cfRule type="containsText" priority="15575" operator="containsText" id="{2C684E35-1D49-40C8-ADE7-177A5383A821}">
            <xm:f>NOT(ISERROR(SEARCH(Einstellungen!$A$2,G25)))</xm:f>
            <xm:f>Einstellungen!$A$2</xm:f>
            <x14:dxf>
              <font>
                <color theme="0"/>
              </font>
              <fill>
                <patternFill>
                  <bgColor rgb="FF0070C0"/>
                </patternFill>
              </fill>
            </x14:dxf>
          </x14:cfRule>
          <x14:cfRule type="containsText" priority="15576" operator="containsText" id="{6A0E3B49-1433-4910-AF6C-80FF2C33CF28}">
            <xm:f>NOT(ISERROR(SEARCH(Einstellungen!$A$1,G25)))</xm:f>
            <xm:f>Einstellungen!$A$1</xm:f>
            <x14:dxf>
              <font>
                <color theme="0"/>
              </font>
              <fill>
                <patternFill>
                  <bgColor rgb="FF00B050"/>
                </patternFill>
              </fill>
            </x14:dxf>
          </x14:cfRule>
          <x14:cfRule type="expression" priority="15577" id="{FEA08500-ABB9-409D-9FD7-11F6AFEDE37F}">
            <xm:f>IF(VLOOKUP(G$4,Einstellungen!$E$2:$E$15,1,FALSE)=G$4,TRUE,FALSE)</xm:f>
            <x14:dxf>
              <fill>
                <patternFill>
                  <bgColor rgb="FFFFE593"/>
                </patternFill>
              </fill>
            </x14:dxf>
          </x14:cfRule>
          <x14:cfRule type="expression" priority="15578" id="{7EEC259A-C6AA-4302-AB68-590E6188F709}">
            <xm:f>IF(VLOOKUP(G$7,Einstellungen!$E$2:$E$15,1,FALSE)=G$7,TRUE,FALSE)</xm:f>
            <x14:dxf>
              <fill>
                <patternFill>
                  <bgColor rgb="FFFFE593"/>
                </patternFill>
              </fill>
            </x14:dxf>
          </x14:cfRule>
          <x14:cfRule type="beginsWith" priority="15581" operator="beginsWith" id="{7A30C07C-7720-49BF-8BC5-06C0D0BF68DB}">
            <xm:f>LEFT(G25,LEN(Einstellungen!$A$19))=Einstellungen!$A$19</xm:f>
            <xm:f>Einstellungen!$A$19</xm:f>
            <x14:dxf>
              <font>
                <color theme="1"/>
              </font>
              <fill>
                <patternFill>
                  <bgColor theme="0" tint="-0.24994659260841701"/>
                </patternFill>
              </fill>
            </x14:dxf>
          </x14:cfRule>
          <x14:cfRule type="containsText" priority="15582" operator="containsText" id="{DEEA5119-6F5B-401F-A995-19E927A9DDD4}">
            <xm:f>NOT(ISERROR(SEARCH(Einstellungen!$A$18,G25)))</xm:f>
            <xm:f>Einstellungen!$A$18</xm:f>
            <x14:dxf>
              <font>
                <color rgb="FFFFFF00"/>
              </font>
              <fill>
                <patternFill>
                  <bgColor theme="8" tint="-0.499984740745262"/>
                </patternFill>
              </fill>
            </x14:dxf>
          </x14:cfRule>
          <x14:cfRule type="containsText" priority="15583" operator="containsText" id="{DDBC9545-E887-431F-9C73-2D64BC31841A}">
            <xm:f>NOT(ISERROR(SEARCH(Einstellungen!$A$20,G25)))</xm:f>
            <xm:f>Einstellungen!$A$20</xm:f>
            <x14:dxf>
              <font>
                <color theme="1"/>
              </font>
              <fill>
                <patternFill>
                  <bgColor theme="0" tint="-0.24994659260841701"/>
                </patternFill>
              </fill>
            </x14:dxf>
          </x14:cfRule>
          <x14:cfRule type="containsText" priority="15584" operator="containsText" id="{ACCE5A22-977F-48DE-8970-5465889B06F9}">
            <xm:f>NOT(ISERROR(SEARCH(Einstellungen!$A$7,G25)))</xm:f>
            <xm:f>Einstellungen!$A$7</xm:f>
            <x14:dxf>
              <font>
                <color theme="1"/>
              </font>
              <fill>
                <patternFill>
                  <bgColor theme="7" tint="0.79998168889431442"/>
                </patternFill>
              </fill>
            </x14:dxf>
          </x14:cfRule>
          <x14:cfRule type="containsText" priority="15585" operator="containsText" id="{CBE65BF5-50B2-4DC0-9FD0-933B6CEECC83}">
            <xm:f>NOT(ISERROR(SEARCH(Einstellungen!$A$9,G25)))</xm:f>
            <xm:f>Einstellungen!$A$9</xm:f>
            <x14:dxf>
              <font>
                <color theme="0"/>
              </font>
              <fill>
                <patternFill>
                  <bgColor theme="2" tint="-0.749961851863155"/>
                </patternFill>
              </fill>
            </x14:dxf>
          </x14:cfRule>
          <x14:cfRule type="containsText" priority="15586" operator="containsText" id="{5A13127A-3F1F-46EE-A8F9-780C233FC72A}">
            <xm:f>NOT(ISERROR(SEARCH(Einstellungen!$A$8,G25)))</xm:f>
            <xm:f>Einstellungen!$A$8</xm:f>
            <x14:dxf>
              <font>
                <color theme="1"/>
              </font>
              <fill>
                <patternFill>
                  <bgColor theme="7" tint="0.79998168889431442"/>
                </patternFill>
              </fill>
            </x14:dxf>
          </x14:cfRule>
          <x14:cfRule type="containsText" priority="15587" operator="containsText" id="{66A0A5CC-F9FD-41D1-BC8E-CF31B5DC158D}">
            <xm:f>NOT(ISERROR(SEARCH(Einstellungen!$A$17,G25)))</xm:f>
            <xm:f>Einstellungen!$A$17</xm:f>
            <x14:dxf>
              <font>
                <color theme="1"/>
              </font>
              <fill>
                <patternFill>
                  <bgColor theme="7" tint="-0.24994659260841701"/>
                </patternFill>
              </fill>
            </x14:dxf>
          </x14:cfRule>
          <x14:cfRule type="containsText" priority="15588" operator="containsText" id="{54B7C0E7-975E-4D9B-8749-A040D2D1AEAE}">
            <xm:f>NOT(ISERROR(SEARCH(Einstellungen!$A$16,G25)))</xm:f>
            <xm:f>Einstellungen!$A$16</xm:f>
            <x14:dxf>
              <font>
                <color theme="1"/>
              </font>
              <fill>
                <patternFill>
                  <bgColor theme="7" tint="0.39994506668294322"/>
                </patternFill>
              </fill>
            </x14:dxf>
          </x14:cfRule>
          <x14:cfRule type="containsText" priority="15589" operator="containsText" id="{95B1AB82-D430-4615-8A1E-8961C2A5E25B}">
            <xm:f>NOT(ISERROR(SEARCH(Einstellungen!$A$15,G25)))</xm:f>
            <xm:f>Einstellungen!$A$15</xm:f>
            <x14:dxf>
              <font>
                <color theme="1"/>
              </font>
              <fill>
                <patternFill>
                  <bgColor theme="4" tint="0.39994506668294322"/>
                </patternFill>
              </fill>
            </x14:dxf>
          </x14:cfRule>
          <x14:cfRule type="containsText" priority="15590" operator="containsText" id="{746C2A86-2E8B-4890-9020-FF70674AF3CB}">
            <xm:f>NOT(ISERROR(SEARCH(Einstellungen!$A$14,G25)))</xm:f>
            <xm:f>Einstellungen!$A$14</xm:f>
            <x14:dxf>
              <font>
                <color theme="1"/>
              </font>
              <fill>
                <patternFill>
                  <bgColor theme="0" tint="-0.24994659260841701"/>
                </patternFill>
              </fill>
            </x14:dxf>
          </x14:cfRule>
          <x14:cfRule type="containsText" priority="15591" operator="containsText" id="{480F86AD-314B-452B-AC00-BCBCB6C166F1}">
            <xm:f>NOT(ISERROR(SEARCH(Einstellungen!$A$12,G25)))</xm:f>
            <xm:f>Einstellungen!$A$12</xm:f>
            <x14:dxf>
              <font>
                <color theme="1"/>
              </font>
              <fill>
                <patternFill>
                  <bgColor theme="0" tint="-0.24994659260841701"/>
                </patternFill>
              </fill>
            </x14:dxf>
          </x14:cfRule>
          <x14:cfRule type="containsText" priority="15592" operator="containsText" id="{C2BF15FC-9D7F-4815-8446-2313306E26D3}">
            <xm:f>NOT(ISERROR(SEARCH(Einstellungen!$A$13,G25)))</xm:f>
            <xm:f>Einstellungen!$A$13</xm:f>
            <x14:dxf>
              <font>
                <color theme="1"/>
              </font>
              <fill>
                <patternFill>
                  <bgColor theme="0" tint="-0.24994659260841701"/>
                </patternFill>
              </fill>
            </x14:dxf>
          </x14:cfRule>
          <x14:cfRule type="containsText" priority="15593" operator="containsText" id="{B07D0008-DDB7-4145-8F35-B673FF22A7E6}">
            <xm:f>NOT(ISERROR(SEARCH(Einstellungen!$A$11,G25)))</xm:f>
            <xm:f>Einstellungen!$A$11</xm:f>
            <x14:dxf>
              <font>
                <color theme="1"/>
              </font>
              <fill>
                <patternFill>
                  <bgColor theme="5" tint="0.39994506668294322"/>
                </patternFill>
              </fill>
            </x14:dxf>
          </x14:cfRule>
          <x14:cfRule type="containsText" priority="15594" operator="containsText" id="{FAC4F329-410A-4BFE-9D6A-BC9B73668BEA}">
            <xm:f>NOT(ISERROR(SEARCH(Einstellungen!$A$5,G25)))</xm:f>
            <xm:f>Einstellungen!$A$5</xm:f>
            <x14:dxf>
              <font>
                <color theme="0"/>
              </font>
              <fill>
                <patternFill>
                  <bgColor theme="2" tint="-0.749961851863155"/>
                </patternFill>
              </fill>
            </x14:dxf>
          </x14:cfRule>
          <x14:cfRule type="containsText" priority="15595" operator="containsText" id="{FFE36671-A42F-446E-9235-C42CDD2389A3}">
            <xm:f>NOT(ISERROR(SEARCH(Einstellungen!$A$4,G25)))</xm:f>
            <xm:f>Einstellungen!$A$4</xm:f>
            <x14:dxf>
              <font>
                <color theme="1"/>
              </font>
              <fill>
                <patternFill>
                  <bgColor theme="0" tint="-0.24994659260841701"/>
                </patternFill>
              </fill>
            </x14:dxf>
          </x14:cfRule>
          <x14:cfRule type="containsText" priority="15596" operator="containsText" id="{F856A74B-A532-4714-A4D1-5309C55A9CD9}">
            <xm:f>NOT(ISERROR(SEARCH(Einstellungen!$A$3,G25)))</xm:f>
            <xm:f>Einstellungen!$A$3</xm:f>
            <x14:dxf>
              <font>
                <color theme="0"/>
              </font>
              <fill>
                <patternFill>
                  <bgColor rgb="FF002060"/>
                </patternFill>
              </fill>
            </x14:dxf>
          </x14:cfRule>
          <x14:cfRule type="containsText" priority="15597" operator="containsText" id="{B2BC0B79-6AAB-40B7-AF13-A13E37A47DFB}">
            <xm:f>NOT(ISERROR(SEARCH(Einstellungen!$A$2,G25)))</xm:f>
            <xm:f>Einstellungen!$A$2</xm:f>
            <x14:dxf>
              <font>
                <color theme="0"/>
              </font>
              <fill>
                <patternFill>
                  <bgColor rgb="FF0070C0"/>
                </patternFill>
              </fill>
            </x14:dxf>
          </x14:cfRule>
          <x14:cfRule type="containsText" priority="15598" operator="containsText" id="{EFDCD27F-A991-46E7-B250-A0050FF70A7F}">
            <xm:f>NOT(ISERROR(SEARCH(Einstellungen!$A$1,G25)))</xm:f>
            <xm:f>Einstellungen!$A$1</xm:f>
            <x14:dxf>
              <font>
                <color theme="0"/>
              </font>
              <fill>
                <patternFill>
                  <bgColor rgb="FF00B050"/>
                </patternFill>
              </fill>
            </x14:dxf>
          </x14:cfRule>
          <x14:cfRule type="expression" priority="15599" id="{5294B1B7-D23B-4B03-A3BB-5913BC1849C9}">
            <xm:f>IF(VLOOKUP(G$4,Einstellungen!$E$2:$E$15,1,FALSE)=G$4,TRUE,FALSE)</xm:f>
            <x14:dxf>
              <fill>
                <patternFill>
                  <bgColor rgb="FFFFE593"/>
                </patternFill>
              </fill>
            </x14:dxf>
          </x14:cfRule>
          <x14:cfRule type="expression" priority="15600" id="{3D760D6A-E1BA-4AC0-848E-5D5F3C3B037D}">
            <xm:f>IF(VLOOKUP(G$7,Einstellungen!$E$2:$E$15,1,FALSE)=G$7,TRUE,FALSE)</xm:f>
            <x14:dxf>
              <fill>
                <patternFill>
                  <bgColor rgb="FFFFE593"/>
                </patternFill>
              </fill>
            </x14:dxf>
          </x14:cfRule>
          <x14:cfRule type="containsText" priority="15603" operator="containsText" id="{999B9036-360B-4771-90B2-2F8097BEF3E0}">
            <xm:f>NOT(ISERROR(SEARCH(Einstellungen!$A$5,G25)))</xm:f>
            <xm:f>Einstellungen!$A$5</xm:f>
            <x14:dxf>
              <font>
                <color theme="1"/>
              </font>
              <fill>
                <patternFill>
                  <bgColor theme="0" tint="-0.24994659260841701"/>
                </patternFill>
              </fill>
            </x14:dxf>
          </x14:cfRule>
          <x14:cfRule type="containsText" priority="15604" operator="containsText" id="{18E55BF4-7402-4858-AC82-372A4C0AA7C6}">
            <xm:f>NOT(ISERROR(SEARCH(Einstellungen!$A$4,G25)))</xm:f>
            <xm:f>Einstellungen!$A$4</xm:f>
            <x14:dxf>
              <font>
                <color theme="1"/>
              </font>
              <fill>
                <patternFill>
                  <bgColor theme="0" tint="-0.24994659260841701"/>
                </patternFill>
              </fill>
            </x14:dxf>
          </x14:cfRule>
          <x14:cfRule type="containsText" priority="15605" operator="containsText" id="{AB012804-3F1E-4803-8886-CC09B6B67860}">
            <xm:f>NOT(ISERROR(SEARCH(Einstellungen!$A$3,G25)))</xm:f>
            <xm:f>Einstellungen!$A$3</xm:f>
            <x14:dxf>
              <font>
                <color theme="0"/>
              </font>
              <fill>
                <patternFill>
                  <bgColor rgb="FF002060"/>
                </patternFill>
              </fill>
            </x14:dxf>
          </x14:cfRule>
          <x14:cfRule type="containsText" priority="15606" operator="containsText" id="{388B3125-EAAD-41C4-91FD-1D807D4AEF25}">
            <xm:f>NOT(ISERROR(SEARCH(Einstellungen!$A$2,G25)))</xm:f>
            <xm:f>Einstellungen!$A$2</xm:f>
            <x14:dxf>
              <font>
                <color theme="0"/>
              </font>
              <fill>
                <patternFill>
                  <bgColor rgb="FF0070C0"/>
                </patternFill>
              </fill>
            </x14:dxf>
          </x14:cfRule>
          <x14:cfRule type="containsText" priority="15607" operator="containsText" id="{23A618C8-AB73-4D72-8B1D-A8D0D5D04DBD}">
            <xm:f>NOT(ISERROR(SEARCH(Einstellungen!$A$1,G25)))</xm:f>
            <xm:f>Einstellungen!$A$1</xm:f>
            <x14:dxf>
              <font>
                <color theme="0"/>
              </font>
              <fill>
                <patternFill>
                  <bgColor rgb="FF00B050"/>
                </patternFill>
              </fill>
            </x14:dxf>
          </x14:cfRule>
          <x14:cfRule type="expression" priority="15608" id="{1300A5DC-6151-40C6-A276-B80428A9534B}">
            <xm:f>IF(VLOOKUP(G$4,Einstellungen!$E$2:$E$15,1,FALSE)=G$4,TRUE,FALSE)</xm:f>
            <x14:dxf>
              <fill>
                <patternFill>
                  <bgColor rgb="FFFFE593"/>
                </patternFill>
              </fill>
            </x14:dxf>
          </x14:cfRule>
          <x14:cfRule type="expression" priority="15609" id="{FE850858-3636-4391-BD43-BA558ABBC4F4}">
            <xm:f>IF(VLOOKUP(G$7,Einstellungen!$E$2:$E$15,1,FALSE)=G$7,TRUE,FALSE)</xm:f>
            <x14:dxf>
              <fill>
                <patternFill>
                  <bgColor rgb="FFFFE593"/>
                </patternFill>
              </fill>
            </x14:dxf>
          </x14:cfRule>
          <x14:cfRule type="containsText" priority="15612" operator="containsText" id="{415393C8-02BB-4973-A0FC-92755F4D71E0}">
            <xm:f>NOT(ISERROR(SEARCH(Einstellungen!$A$7,G25)))</xm:f>
            <xm:f>Einstellungen!$A$7</xm:f>
            <x14:dxf>
              <font>
                <color theme="1"/>
              </font>
              <fill>
                <patternFill>
                  <bgColor theme="7" tint="0.79998168889431442"/>
                </patternFill>
              </fill>
            </x14:dxf>
          </x14:cfRule>
          <x14:cfRule type="containsText" priority="15613" operator="containsText" id="{2850FC98-63A9-415D-AFA0-E9A704FA885B}">
            <xm:f>NOT(ISERROR(SEARCH(Einstellungen!$A$9,G25)))</xm:f>
            <xm:f>Einstellungen!$A$9</xm:f>
            <x14:dxf>
              <font>
                <color theme="0"/>
              </font>
              <fill>
                <patternFill>
                  <bgColor theme="2" tint="-0.749961851863155"/>
                </patternFill>
              </fill>
            </x14:dxf>
          </x14:cfRule>
          <x14:cfRule type="containsText" priority="15614" operator="containsText" id="{145FAE79-DD02-40B0-B7D3-05C4FFEB8C91}">
            <xm:f>NOT(ISERROR(SEARCH(Einstellungen!$A$8,G25)))</xm:f>
            <xm:f>Einstellungen!$A$8</xm:f>
            <x14:dxf>
              <font>
                <color theme="1"/>
              </font>
              <fill>
                <patternFill>
                  <bgColor theme="7" tint="0.79998168889431442"/>
                </patternFill>
              </fill>
            </x14:dxf>
          </x14:cfRule>
          <x14:cfRule type="containsText" priority="15615" operator="containsText" id="{CD94CF8B-337A-43F9-AC03-ACBB8126AFB1}">
            <xm:f>NOT(ISERROR(SEARCH(Einstellungen!$A$17,G25)))</xm:f>
            <xm:f>Einstellungen!$A$17</xm:f>
            <x14:dxf>
              <font>
                <color theme="1"/>
              </font>
              <fill>
                <patternFill>
                  <bgColor theme="7" tint="-0.24994659260841701"/>
                </patternFill>
              </fill>
            </x14:dxf>
          </x14:cfRule>
          <x14:cfRule type="containsText" priority="15616" operator="containsText" id="{1926DC47-5847-4EE6-BD0E-B7B30F5F9EB3}">
            <xm:f>NOT(ISERROR(SEARCH(Einstellungen!$A$16,G25)))</xm:f>
            <xm:f>Einstellungen!$A$16</xm:f>
            <x14:dxf>
              <font>
                <color theme="1"/>
              </font>
              <fill>
                <patternFill>
                  <bgColor theme="7" tint="0.39994506668294322"/>
                </patternFill>
              </fill>
            </x14:dxf>
          </x14:cfRule>
          <x14:cfRule type="containsText" priority="15617" operator="containsText" id="{61AC66A0-72D7-4195-8C55-9491989E0FF9}">
            <xm:f>NOT(ISERROR(SEARCH(Einstellungen!$A$15,G25)))</xm:f>
            <xm:f>Einstellungen!$A$15</xm:f>
            <x14:dxf>
              <font>
                <color theme="1"/>
              </font>
              <fill>
                <patternFill>
                  <bgColor theme="4" tint="0.39994506668294322"/>
                </patternFill>
              </fill>
            </x14:dxf>
          </x14:cfRule>
          <x14:cfRule type="containsText" priority="15618" operator="containsText" id="{3DE48E6F-CFBA-4918-B0BB-9BE83F313454}">
            <xm:f>NOT(ISERROR(SEARCH(Einstellungen!$A$14,G25)))</xm:f>
            <xm:f>Einstellungen!$A$14</xm:f>
            <x14:dxf>
              <font>
                <color theme="1"/>
              </font>
              <fill>
                <patternFill>
                  <bgColor theme="0" tint="-0.24994659260841701"/>
                </patternFill>
              </fill>
            </x14:dxf>
          </x14:cfRule>
          <x14:cfRule type="containsText" priority="15619" operator="containsText" id="{4D692192-7FE7-43FF-A642-C4D4DD84A607}">
            <xm:f>NOT(ISERROR(SEARCH(Einstellungen!$A$12,G25)))</xm:f>
            <xm:f>Einstellungen!$A$12</xm:f>
            <x14:dxf>
              <font>
                <color theme="1"/>
              </font>
              <fill>
                <patternFill>
                  <bgColor theme="0" tint="-0.24994659260841701"/>
                </patternFill>
              </fill>
            </x14:dxf>
          </x14:cfRule>
          <x14:cfRule type="containsText" priority="15620" operator="containsText" id="{C75619F4-77FB-480E-AB86-8DF5939CF169}">
            <xm:f>NOT(ISERROR(SEARCH(Einstellungen!$A$13,G25)))</xm:f>
            <xm:f>Einstellungen!$A$13</xm:f>
            <x14:dxf>
              <font>
                <color theme="1"/>
              </font>
              <fill>
                <patternFill>
                  <bgColor theme="0" tint="-0.24994659260841701"/>
                </patternFill>
              </fill>
            </x14:dxf>
          </x14:cfRule>
          <x14:cfRule type="containsText" priority="15621" operator="containsText" id="{B7B662C8-3250-48C4-9493-54F0BE42F324}">
            <xm:f>NOT(ISERROR(SEARCH(Einstellungen!$A$11,G25)))</xm:f>
            <xm:f>Einstellungen!$A$11</xm:f>
            <x14:dxf>
              <font>
                <color theme="1"/>
              </font>
              <fill>
                <patternFill>
                  <bgColor theme="5" tint="0.39994506668294322"/>
                </patternFill>
              </fill>
            </x14:dxf>
          </x14:cfRule>
          <x14:cfRule type="containsText" priority="15622" operator="containsText" id="{136747BF-1303-44E0-AC5E-8AA64ACA9254}">
            <xm:f>NOT(ISERROR(SEARCH(Einstellungen!$A$5,G25)))</xm:f>
            <xm:f>Einstellungen!$A$5</xm:f>
            <x14:dxf>
              <font>
                <color theme="0"/>
              </font>
              <fill>
                <patternFill>
                  <bgColor theme="2" tint="-0.749961851863155"/>
                </patternFill>
              </fill>
            </x14:dxf>
          </x14:cfRule>
          <x14:cfRule type="containsText" priority="15623" operator="containsText" id="{08D282F4-4181-4032-91E8-548ED71EFEC6}">
            <xm:f>NOT(ISERROR(SEARCH(Einstellungen!$A$4,G25)))</xm:f>
            <xm:f>Einstellungen!$A$4</xm:f>
            <x14:dxf>
              <font>
                <color theme="1"/>
              </font>
              <fill>
                <patternFill>
                  <bgColor theme="0" tint="-0.24994659260841701"/>
                </patternFill>
              </fill>
            </x14:dxf>
          </x14:cfRule>
          <x14:cfRule type="containsText" priority="15624" operator="containsText" id="{3AF30DBC-25FC-4EE2-A8D5-936B3388E853}">
            <xm:f>NOT(ISERROR(SEARCH(Einstellungen!$A$3,G25)))</xm:f>
            <xm:f>Einstellungen!$A$3</xm:f>
            <x14:dxf>
              <font>
                <color theme="0"/>
              </font>
              <fill>
                <patternFill>
                  <bgColor rgb="FF002060"/>
                </patternFill>
              </fill>
            </x14:dxf>
          </x14:cfRule>
          <x14:cfRule type="containsText" priority="15625" operator="containsText" id="{C5B7CAEB-2C83-46B7-BB75-C1044A070633}">
            <xm:f>NOT(ISERROR(SEARCH(Einstellungen!$A$2,G25)))</xm:f>
            <xm:f>Einstellungen!$A$2</xm:f>
            <x14:dxf>
              <font>
                <color theme="0"/>
              </font>
              <fill>
                <patternFill>
                  <bgColor rgb="FF0070C0"/>
                </patternFill>
              </fill>
            </x14:dxf>
          </x14:cfRule>
          <x14:cfRule type="containsText" priority="15626" operator="containsText" id="{9FD193C3-BD3A-45A4-94CD-DAAB2E09D10A}">
            <xm:f>NOT(ISERROR(SEARCH(Einstellungen!$A$1,G25)))</xm:f>
            <xm:f>Einstellungen!$A$1</xm:f>
            <x14:dxf>
              <font>
                <color theme="0"/>
              </font>
              <fill>
                <patternFill>
                  <bgColor rgb="FF00B050"/>
                </patternFill>
              </fill>
            </x14:dxf>
          </x14:cfRule>
          <x14:cfRule type="expression" priority="15627" id="{98A44E1E-77D1-497F-956C-E5B124B3BE02}">
            <xm:f>IF(VLOOKUP(G$4,Einstellungen!$E$2:$E$15,1,FALSE)=G$4,TRUE,FALSE)</xm:f>
            <x14:dxf>
              <fill>
                <patternFill>
                  <bgColor rgb="FFFFE593"/>
                </patternFill>
              </fill>
            </x14:dxf>
          </x14:cfRule>
          <x14:cfRule type="expression" priority="15628" id="{D880D00B-5063-4BD0-B469-2FC0126FFB6B}">
            <xm:f>IF(VLOOKUP(G$7,Einstellungen!$E$2:$E$15,1,FALSE)=G$7,TRUE,FALSE)</xm:f>
            <x14:dxf>
              <fill>
                <patternFill>
                  <bgColor rgb="FFFFE593"/>
                </patternFill>
              </fill>
            </x14:dxf>
          </x14:cfRule>
          <x14:cfRule type="containsText" priority="15631" operator="containsText" id="{964EB0DA-82EE-488D-920A-A09A84AC80BE}">
            <xm:f>NOT(ISERROR(SEARCH(Einstellungen!$A$5,G25)))</xm:f>
            <xm:f>Einstellungen!$A$5</xm:f>
            <x14:dxf>
              <font>
                <color theme="1"/>
              </font>
              <fill>
                <patternFill>
                  <bgColor theme="0" tint="-0.24994659260841701"/>
                </patternFill>
              </fill>
            </x14:dxf>
          </x14:cfRule>
          <x14:cfRule type="containsText" priority="15632" operator="containsText" id="{638442E6-A9DA-49DF-95D3-7EF46CB656C5}">
            <xm:f>NOT(ISERROR(SEARCH(Einstellungen!$A$4,G25)))</xm:f>
            <xm:f>Einstellungen!$A$4</xm:f>
            <x14:dxf>
              <font>
                <color theme="1"/>
              </font>
              <fill>
                <patternFill>
                  <bgColor theme="0" tint="-0.24994659260841701"/>
                </patternFill>
              </fill>
            </x14:dxf>
          </x14:cfRule>
          <x14:cfRule type="containsText" priority="15633" operator="containsText" id="{40F6FA7F-137C-485B-BE16-56C7E9C8F449}">
            <xm:f>NOT(ISERROR(SEARCH(Einstellungen!$A$3,G25)))</xm:f>
            <xm:f>Einstellungen!$A$3</xm:f>
            <x14:dxf>
              <font>
                <color theme="0"/>
              </font>
              <fill>
                <patternFill>
                  <bgColor rgb="FF002060"/>
                </patternFill>
              </fill>
            </x14:dxf>
          </x14:cfRule>
          <x14:cfRule type="containsText" priority="15634" operator="containsText" id="{C8AEF126-BA6A-4540-A5B4-E3DF6FAC8FF1}">
            <xm:f>NOT(ISERROR(SEARCH(Einstellungen!$A$2,G25)))</xm:f>
            <xm:f>Einstellungen!$A$2</xm:f>
            <x14:dxf>
              <font>
                <color theme="0"/>
              </font>
              <fill>
                <patternFill>
                  <bgColor rgb="FF0070C0"/>
                </patternFill>
              </fill>
            </x14:dxf>
          </x14:cfRule>
          <x14:cfRule type="containsText" priority="15635" operator="containsText" id="{DEED0709-ACED-48E4-9B22-009DD46C68C8}">
            <xm:f>NOT(ISERROR(SEARCH(Einstellungen!$A$1,G25)))</xm:f>
            <xm:f>Einstellungen!$A$1</xm:f>
            <x14:dxf>
              <font>
                <color theme="0"/>
              </font>
              <fill>
                <patternFill>
                  <bgColor rgb="FF00B050"/>
                </patternFill>
              </fill>
            </x14:dxf>
          </x14:cfRule>
          <x14:cfRule type="expression" priority="15636" id="{8DCF6A3A-B553-4299-BC17-8EEC600E9DA4}">
            <xm:f>IF(VLOOKUP(G$4,Einstellungen!$E$2:$E$15,1,FALSE)=G$4,TRUE,FALSE)</xm:f>
            <x14:dxf>
              <fill>
                <patternFill>
                  <bgColor rgb="FFFFE593"/>
                </patternFill>
              </fill>
            </x14:dxf>
          </x14:cfRule>
          <x14:cfRule type="expression" priority="15637" id="{26F8F765-D003-4C96-BEA4-923C1ECCC512}">
            <xm:f>IF(VLOOKUP(G$7,Einstellungen!$E$2:$E$15,1,FALSE)=G$7,TRUE,FALSE)</xm:f>
            <x14:dxf>
              <fill>
                <patternFill>
                  <bgColor rgb="FFFFE593"/>
                </patternFill>
              </fill>
            </x14:dxf>
          </x14:cfRule>
          <x14:cfRule type="containsText" priority="15640" operator="containsText" id="{D7D466ED-9A6A-4E9E-B09C-017E90C2BA84}">
            <xm:f>NOT(ISERROR(SEARCH(Einstellungen!$A$7,G25)))</xm:f>
            <xm:f>Einstellungen!$A$7</xm:f>
            <x14:dxf>
              <font>
                <color theme="1"/>
              </font>
              <fill>
                <patternFill>
                  <bgColor theme="7" tint="0.79998168889431442"/>
                </patternFill>
              </fill>
            </x14:dxf>
          </x14:cfRule>
          <x14:cfRule type="containsText" priority="15641" operator="containsText" id="{EDCBC1A5-E5A1-44F3-84F6-3A325653A2B2}">
            <xm:f>NOT(ISERROR(SEARCH(Einstellungen!$A$9,G25)))</xm:f>
            <xm:f>Einstellungen!$A$9</xm:f>
            <x14:dxf>
              <font>
                <color theme="0"/>
              </font>
              <fill>
                <patternFill>
                  <bgColor theme="2" tint="-0.749961851863155"/>
                </patternFill>
              </fill>
            </x14:dxf>
          </x14:cfRule>
          <x14:cfRule type="containsText" priority="15642" operator="containsText" id="{FB35CA5D-3216-4371-8256-D4A94B2374FF}">
            <xm:f>NOT(ISERROR(SEARCH(Einstellungen!$A$8,G25)))</xm:f>
            <xm:f>Einstellungen!$A$8</xm:f>
            <x14:dxf>
              <font>
                <color theme="1"/>
              </font>
              <fill>
                <patternFill>
                  <bgColor theme="7" tint="0.79998168889431442"/>
                </patternFill>
              </fill>
            </x14:dxf>
          </x14:cfRule>
          <x14:cfRule type="containsText" priority="15643" operator="containsText" id="{1230D68B-3408-419D-B269-8C8966FBD161}">
            <xm:f>NOT(ISERROR(SEARCH(Einstellungen!$A$17,G25)))</xm:f>
            <xm:f>Einstellungen!$A$17</xm:f>
            <x14:dxf>
              <font>
                <color theme="1"/>
              </font>
              <fill>
                <patternFill>
                  <bgColor theme="7" tint="-0.24994659260841701"/>
                </patternFill>
              </fill>
            </x14:dxf>
          </x14:cfRule>
          <x14:cfRule type="containsText" priority="15644" operator="containsText" id="{EA6E9BE0-A60B-4DE6-A3E1-7F68251146AB}">
            <xm:f>NOT(ISERROR(SEARCH(Einstellungen!$A$16,G25)))</xm:f>
            <xm:f>Einstellungen!$A$16</xm:f>
            <x14:dxf>
              <font>
                <color theme="1"/>
              </font>
              <fill>
                <patternFill>
                  <bgColor theme="7" tint="0.39994506668294322"/>
                </patternFill>
              </fill>
            </x14:dxf>
          </x14:cfRule>
          <x14:cfRule type="containsText" priority="15645" operator="containsText" id="{7DD59C01-02DB-4236-8DA6-4285524DB9C4}">
            <xm:f>NOT(ISERROR(SEARCH(Einstellungen!$A$15,G25)))</xm:f>
            <xm:f>Einstellungen!$A$15</xm:f>
            <x14:dxf>
              <font>
                <color theme="1"/>
              </font>
              <fill>
                <patternFill>
                  <bgColor theme="4" tint="0.39994506668294322"/>
                </patternFill>
              </fill>
            </x14:dxf>
          </x14:cfRule>
          <x14:cfRule type="containsText" priority="15646" operator="containsText" id="{AC035ED9-0927-4050-8B48-7997C8036C82}">
            <xm:f>NOT(ISERROR(SEARCH(Einstellungen!$A$14,G25)))</xm:f>
            <xm:f>Einstellungen!$A$14</xm:f>
            <x14:dxf>
              <font>
                <color theme="1"/>
              </font>
              <fill>
                <patternFill>
                  <bgColor theme="0" tint="-0.24994659260841701"/>
                </patternFill>
              </fill>
            </x14:dxf>
          </x14:cfRule>
          <x14:cfRule type="containsText" priority="15647" operator="containsText" id="{2327DFDF-89CB-4A87-9E8D-6563D30F2F80}">
            <xm:f>NOT(ISERROR(SEARCH(Einstellungen!$A$12,G25)))</xm:f>
            <xm:f>Einstellungen!$A$12</xm:f>
            <x14:dxf>
              <font>
                <color theme="1"/>
              </font>
              <fill>
                <patternFill>
                  <bgColor theme="0" tint="-0.24994659260841701"/>
                </patternFill>
              </fill>
            </x14:dxf>
          </x14:cfRule>
          <x14:cfRule type="containsText" priority="15648" operator="containsText" id="{FE8E0661-3C3A-4191-87C2-97F0C1B9C927}">
            <xm:f>NOT(ISERROR(SEARCH(Einstellungen!$A$13,G25)))</xm:f>
            <xm:f>Einstellungen!$A$13</xm:f>
            <x14:dxf>
              <font>
                <color theme="1"/>
              </font>
              <fill>
                <patternFill>
                  <bgColor theme="0" tint="-0.24994659260841701"/>
                </patternFill>
              </fill>
            </x14:dxf>
          </x14:cfRule>
          <x14:cfRule type="containsText" priority="15649" operator="containsText" id="{2B80CB79-7233-465F-A819-AB5E3C2F39F9}">
            <xm:f>NOT(ISERROR(SEARCH(Einstellungen!$A$11,G25)))</xm:f>
            <xm:f>Einstellungen!$A$11</xm:f>
            <x14:dxf>
              <font>
                <color theme="1"/>
              </font>
              <fill>
                <patternFill>
                  <bgColor theme="5" tint="0.39994506668294322"/>
                </patternFill>
              </fill>
            </x14:dxf>
          </x14:cfRule>
          <x14:cfRule type="containsText" priority="15650" operator="containsText" id="{D2C796CF-F429-403B-AE87-AF2661048FAF}">
            <xm:f>NOT(ISERROR(SEARCH(Einstellungen!$A$5,G25)))</xm:f>
            <xm:f>Einstellungen!$A$5</xm:f>
            <x14:dxf>
              <font>
                <color theme="0"/>
              </font>
              <fill>
                <patternFill>
                  <bgColor theme="2" tint="-0.749961851863155"/>
                </patternFill>
              </fill>
            </x14:dxf>
          </x14:cfRule>
          <x14:cfRule type="containsText" priority="15651" operator="containsText" id="{A61E59EB-4B93-48F6-8F3C-D1958130EC9F}">
            <xm:f>NOT(ISERROR(SEARCH(Einstellungen!$A$4,G25)))</xm:f>
            <xm:f>Einstellungen!$A$4</xm:f>
            <x14:dxf>
              <font>
                <color theme="1"/>
              </font>
              <fill>
                <patternFill>
                  <bgColor theme="0" tint="-0.24994659260841701"/>
                </patternFill>
              </fill>
            </x14:dxf>
          </x14:cfRule>
          <x14:cfRule type="containsText" priority="15652" operator="containsText" id="{41BDBDBE-B29B-4C03-8AC5-60FA5AE7A877}">
            <xm:f>NOT(ISERROR(SEARCH(Einstellungen!$A$3,G25)))</xm:f>
            <xm:f>Einstellungen!$A$3</xm:f>
            <x14:dxf>
              <font>
                <color theme="0"/>
              </font>
              <fill>
                <patternFill>
                  <bgColor rgb="FF002060"/>
                </patternFill>
              </fill>
            </x14:dxf>
          </x14:cfRule>
          <x14:cfRule type="containsText" priority="15653" operator="containsText" id="{CEFA2A2F-2F8C-4B08-B7CC-E74A0F87FC70}">
            <xm:f>NOT(ISERROR(SEARCH(Einstellungen!$A$2,G25)))</xm:f>
            <xm:f>Einstellungen!$A$2</xm:f>
            <x14:dxf>
              <font>
                <color theme="0"/>
              </font>
              <fill>
                <patternFill>
                  <bgColor rgb="FF0070C0"/>
                </patternFill>
              </fill>
            </x14:dxf>
          </x14:cfRule>
          <x14:cfRule type="containsText" priority="15654" operator="containsText" id="{A4CA4D7F-5D26-465F-AD39-88C499066F4F}">
            <xm:f>NOT(ISERROR(SEARCH(Einstellungen!$A$1,G25)))</xm:f>
            <xm:f>Einstellungen!$A$1</xm:f>
            <x14:dxf>
              <font>
                <color theme="0"/>
              </font>
              <fill>
                <patternFill>
                  <bgColor rgb="FF00B050"/>
                </patternFill>
              </fill>
            </x14:dxf>
          </x14:cfRule>
          <x14:cfRule type="expression" priority="15655" id="{7426AA6E-F6C6-48F7-A458-3CA8F9B8BBFA}">
            <xm:f>IF(VLOOKUP(G$4,Einstellungen!$E$2:$E$15,1,FALSE)=G$4,TRUE,FALSE)</xm:f>
            <x14:dxf>
              <fill>
                <patternFill>
                  <bgColor rgb="FFFFE593"/>
                </patternFill>
              </fill>
            </x14:dxf>
          </x14:cfRule>
          <x14:cfRule type="expression" priority="15656" id="{36E1386E-52BF-4519-88D1-43B3BEE7D51B}">
            <xm:f>IF(VLOOKUP(G$7,Einstellungen!$E$2:$E$15,1,FALSE)=G$7,TRUE,FALSE)</xm:f>
            <x14:dxf>
              <fill>
                <patternFill>
                  <bgColor rgb="FFFFE593"/>
                </patternFill>
              </fill>
            </x14:dxf>
          </x14:cfRule>
          <x14:cfRule type="containsText" priority="15659" operator="containsText" id="{5253F368-DF1B-4A41-8C20-63C737A5FE9A}">
            <xm:f>NOT(ISERROR(SEARCH(Einstellungen!$A$5,G25)))</xm:f>
            <xm:f>Einstellungen!$A$5</xm:f>
            <x14:dxf>
              <font>
                <color theme="1"/>
              </font>
              <fill>
                <patternFill>
                  <bgColor theme="0" tint="-0.24994659260841701"/>
                </patternFill>
              </fill>
            </x14:dxf>
          </x14:cfRule>
          <x14:cfRule type="containsText" priority="15660" operator="containsText" id="{2209AD64-1D1E-4AE2-AB92-DAD5F2D072C3}">
            <xm:f>NOT(ISERROR(SEARCH(Einstellungen!$A$4,G25)))</xm:f>
            <xm:f>Einstellungen!$A$4</xm:f>
            <x14:dxf>
              <font>
                <color theme="1"/>
              </font>
              <fill>
                <patternFill>
                  <bgColor theme="0" tint="-0.24994659260841701"/>
                </patternFill>
              </fill>
            </x14:dxf>
          </x14:cfRule>
          <x14:cfRule type="containsText" priority="15661" operator="containsText" id="{77B3727B-688F-420E-B659-CF903AA4D8FB}">
            <xm:f>NOT(ISERROR(SEARCH(Einstellungen!$A$3,G25)))</xm:f>
            <xm:f>Einstellungen!$A$3</xm:f>
            <x14:dxf>
              <font>
                <color theme="0"/>
              </font>
              <fill>
                <patternFill>
                  <bgColor rgb="FF002060"/>
                </patternFill>
              </fill>
            </x14:dxf>
          </x14:cfRule>
          <x14:cfRule type="containsText" priority="15662" operator="containsText" id="{D6B74732-3496-4DCB-AFA6-A316FA7BC63C}">
            <xm:f>NOT(ISERROR(SEARCH(Einstellungen!$A$2,G25)))</xm:f>
            <xm:f>Einstellungen!$A$2</xm:f>
            <x14:dxf>
              <font>
                <color theme="0"/>
              </font>
              <fill>
                <patternFill>
                  <bgColor rgb="FF0070C0"/>
                </patternFill>
              </fill>
            </x14:dxf>
          </x14:cfRule>
          <x14:cfRule type="containsText" priority="15663" operator="containsText" id="{DA544371-B4C8-4708-A3C4-F9519935B2CB}">
            <xm:f>NOT(ISERROR(SEARCH(Einstellungen!$A$1,G25)))</xm:f>
            <xm:f>Einstellungen!$A$1</xm:f>
            <x14:dxf>
              <font>
                <color theme="0"/>
              </font>
              <fill>
                <patternFill>
                  <bgColor rgb="FF00B050"/>
                </patternFill>
              </fill>
            </x14:dxf>
          </x14:cfRule>
          <x14:cfRule type="expression" priority="15664" id="{C47D8C57-15B7-43D8-B36C-4D7A3B2C06CF}">
            <xm:f>IF(VLOOKUP(G$4,Einstellungen!$E$2:$E$15,1,FALSE)=G$4,TRUE,FALSE)</xm:f>
            <x14:dxf>
              <fill>
                <patternFill>
                  <bgColor rgb="FFFFE593"/>
                </patternFill>
              </fill>
            </x14:dxf>
          </x14:cfRule>
          <x14:cfRule type="expression" priority="15665" id="{8CB403CE-75A6-41DC-A56A-F471794892CA}">
            <xm:f>IF(VLOOKUP(G$7,Einstellungen!$E$2:$E$15,1,FALSE)=G$7,TRUE,FALSE)</xm:f>
            <x14:dxf>
              <fill>
                <patternFill>
                  <bgColor rgb="FFFFE593"/>
                </patternFill>
              </fill>
            </x14:dxf>
          </x14:cfRule>
          <x14:cfRule type="beginsWith" priority="15668" operator="beginsWith" id="{10CB3D23-B3E8-40D2-9F2F-47BA197D661F}">
            <xm:f>LEFT(G25,LEN(Einstellungen!$A$19))=Einstellungen!$A$19</xm:f>
            <xm:f>Einstellungen!$A$19</xm:f>
            <x14:dxf>
              <font>
                <color theme="1"/>
              </font>
              <fill>
                <patternFill>
                  <bgColor theme="0" tint="-0.24994659260841701"/>
                </patternFill>
              </fill>
            </x14:dxf>
          </x14:cfRule>
          <x14:cfRule type="containsText" priority="15669" operator="containsText" id="{C48DB28F-C81D-43DB-9050-CD3E3D487FDA}">
            <xm:f>NOT(ISERROR(SEARCH(Einstellungen!$A$7,G25)))</xm:f>
            <xm:f>Einstellungen!$A$7</xm:f>
            <x14:dxf>
              <font>
                <color theme="1"/>
              </font>
              <fill>
                <patternFill>
                  <bgColor theme="7" tint="0.79998168889431442"/>
                </patternFill>
              </fill>
            </x14:dxf>
          </x14:cfRule>
          <x14:cfRule type="containsText" priority="15670" operator="containsText" id="{9FB31CF4-8EB3-47DC-A42F-60EC0448BE39}">
            <xm:f>NOT(ISERROR(SEARCH(Einstellungen!$A$9,G25)))</xm:f>
            <xm:f>Einstellungen!$A$9</xm:f>
            <x14:dxf>
              <font>
                <color theme="0"/>
              </font>
              <fill>
                <patternFill>
                  <bgColor theme="2" tint="-0.749961851863155"/>
                </patternFill>
              </fill>
            </x14:dxf>
          </x14:cfRule>
          <x14:cfRule type="containsText" priority="15671" operator="containsText" id="{DE9FDF27-2773-40D0-BC27-8055323455B9}">
            <xm:f>NOT(ISERROR(SEARCH(Einstellungen!$A$8,G25)))</xm:f>
            <xm:f>Einstellungen!$A$8</xm:f>
            <x14:dxf>
              <font>
                <color theme="1"/>
              </font>
              <fill>
                <patternFill>
                  <bgColor theme="7" tint="0.79998168889431442"/>
                </patternFill>
              </fill>
            </x14:dxf>
          </x14:cfRule>
          <x14:cfRule type="containsText" priority="15672" operator="containsText" id="{16BA7A73-9227-4528-B03C-2836A4A312F3}">
            <xm:f>NOT(ISERROR(SEARCH(Einstellungen!$A$17,G25)))</xm:f>
            <xm:f>Einstellungen!$A$17</xm:f>
            <x14:dxf>
              <font>
                <color theme="1"/>
              </font>
              <fill>
                <patternFill>
                  <bgColor theme="7" tint="-0.24994659260841701"/>
                </patternFill>
              </fill>
            </x14:dxf>
          </x14:cfRule>
          <x14:cfRule type="containsText" priority="15673" operator="containsText" id="{F62A6E33-75DB-40B9-B4A5-FF9ABA595C80}">
            <xm:f>NOT(ISERROR(SEARCH(Einstellungen!$A$16,G25)))</xm:f>
            <xm:f>Einstellungen!$A$16</xm:f>
            <x14:dxf>
              <font>
                <color theme="1"/>
              </font>
              <fill>
                <patternFill>
                  <bgColor theme="7" tint="0.39994506668294322"/>
                </patternFill>
              </fill>
            </x14:dxf>
          </x14:cfRule>
          <x14:cfRule type="containsText" priority="15674" operator="containsText" id="{6359D045-CB08-400C-84A4-1C3ADC01A9F1}">
            <xm:f>NOT(ISERROR(SEARCH(Einstellungen!$A$15,G25)))</xm:f>
            <xm:f>Einstellungen!$A$15</xm:f>
            <x14:dxf>
              <font>
                <color theme="1"/>
              </font>
              <fill>
                <patternFill>
                  <bgColor theme="4" tint="0.39994506668294322"/>
                </patternFill>
              </fill>
            </x14:dxf>
          </x14:cfRule>
          <x14:cfRule type="containsText" priority="15675" operator="containsText" id="{4769C2A6-D0AE-43A1-904C-16843747DC8D}">
            <xm:f>NOT(ISERROR(SEARCH(Einstellungen!$A$14,G25)))</xm:f>
            <xm:f>Einstellungen!$A$14</xm:f>
            <x14:dxf>
              <font>
                <color theme="1"/>
              </font>
              <fill>
                <patternFill>
                  <bgColor theme="0" tint="-0.24994659260841701"/>
                </patternFill>
              </fill>
            </x14:dxf>
          </x14:cfRule>
          <x14:cfRule type="containsText" priority="15676" operator="containsText" id="{EB0FCACA-E6ED-4EBF-B2CC-D206C4307899}">
            <xm:f>NOT(ISERROR(SEARCH(Einstellungen!$A$12,G25)))</xm:f>
            <xm:f>Einstellungen!$A$12</xm:f>
            <x14:dxf>
              <font>
                <color theme="1"/>
              </font>
              <fill>
                <patternFill>
                  <bgColor theme="0" tint="-0.24994659260841701"/>
                </patternFill>
              </fill>
            </x14:dxf>
          </x14:cfRule>
          <x14:cfRule type="containsText" priority="15677" operator="containsText" id="{7324051E-CD10-470F-BDF7-C1D65881CC44}">
            <xm:f>NOT(ISERROR(SEARCH(Einstellungen!$A$13,G25)))</xm:f>
            <xm:f>Einstellungen!$A$13</xm:f>
            <x14:dxf>
              <font>
                <color theme="1"/>
              </font>
              <fill>
                <patternFill>
                  <bgColor theme="0" tint="-0.24994659260841701"/>
                </patternFill>
              </fill>
            </x14:dxf>
          </x14:cfRule>
          <x14:cfRule type="containsText" priority="15678" operator="containsText" id="{33461551-A76F-4E8B-875F-7F14A0E4EE16}">
            <xm:f>NOT(ISERROR(SEARCH(Einstellungen!$A$11,G25)))</xm:f>
            <xm:f>Einstellungen!$A$11</xm:f>
            <x14:dxf>
              <font>
                <color theme="1"/>
              </font>
              <fill>
                <patternFill>
                  <bgColor theme="5" tint="0.39994506668294322"/>
                </patternFill>
              </fill>
            </x14:dxf>
          </x14:cfRule>
          <x14:cfRule type="containsText" priority="15679" operator="containsText" id="{65DC66C4-D41B-4DD7-AE5D-7F7618089B51}">
            <xm:f>NOT(ISERROR(SEARCH(Einstellungen!$A$5,G25)))</xm:f>
            <xm:f>Einstellungen!$A$5</xm:f>
            <x14:dxf>
              <font>
                <color theme="0"/>
              </font>
              <fill>
                <patternFill>
                  <bgColor theme="2" tint="-0.749961851863155"/>
                </patternFill>
              </fill>
            </x14:dxf>
          </x14:cfRule>
          <x14:cfRule type="containsText" priority="15680" operator="containsText" id="{4BD44330-0753-449F-AB18-861739AFC611}">
            <xm:f>NOT(ISERROR(SEARCH(Einstellungen!$A$4,G25)))</xm:f>
            <xm:f>Einstellungen!$A$4</xm:f>
            <x14:dxf>
              <font>
                <color theme="1"/>
              </font>
              <fill>
                <patternFill>
                  <bgColor theme="0" tint="-0.24994659260841701"/>
                </patternFill>
              </fill>
            </x14:dxf>
          </x14:cfRule>
          <x14:cfRule type="containsText" priority="15681" operator="containsText" id="{8F8E162B-D1DE-4504-B35D-BF1BE4975007}">
            <xm:f>NOT(ISERROR(SEARCH(Einstellungen!$A$3,G25)))</xm:f>
            <xm:f>Einstellungen!$A$3</xm:f>
            <x14:dxf>
              <font>
                <color theme="0"/>
              </font>
              <fill>
                <patternFill>
                  <bgColor rgb="FF002060"/>
                </patternFill>
              </fill>
            </x14:dxf>
          </x14:cfRule>
          <x14:cfRule type="containsText" priority="15682" operator="containsText" id="{FD5E9378-F696-48C3-BEE8-CCB0988D9BBB}">
            <xm:f>NOT(ISERROR(SEARCH(Einstellungen!$A$2,G25)))</xm:f>
            <xm:f>Einstellungen!$A$2</xm:f>
            <x14:dxf>
              <font>
                <color theme="0"/>
              </font>
              <fill>
                <patternFill>
                  <bgColor rgb="FF0070C0"/>
                </patternFill>
              </fill>
            </x14:dxf>
          </x14:cfRule>
          <x14:cfRule type="containsText" priority="15683" operator="containsText" id="{F734B305-87A8-43D0-B5E6-91180D1C5893}">
            <xm:f>NOT(ISERROR(SEARCH(Einstellungen!$A$1,G25)))</xm:f>
            <xm:f>Einstellungen!$A$1</xm:f>
            <x14:dxf>
              <font>
                <color theme="0"/>
              </font>
              <fill>
                <patternFill>
                  <bgColor rgb="FF00B050"/>
                </patternFill>
              </fill>
            </x14:dxf>
          </x14:cfRule>
          <x14:cfRule type="expression" priority="15684" id="{5E6F7DA4-FFC5-4616-9748-31CB235E684E}">
            <xm:f>IF(VLOOKUP(G$4,Einstellungen!$E$2:$E$15,1,FALSE)=G$4,TRUE,FALSE)</xm:f>
            <x14:dxf>
              <fill>
                <patternFill>
                  <bgColor rgb="FFFFE593"/>
                </patternFill>
              </fill>
            </x14:dxf>
          </x14:cfRule>
          <x14:cfRule type="expression" priority="15685" id="{CE0AB46B-87B3-4CB3-B4A5-1F609D99D776}">
            <xm:f>IF(VLOOKUP(G$7,Einstellungen!$E$2:$E$15,1,FALSE)=G$7,TRUE,FALSE)</xm:f>
            <x14:dxf>
              <fill>
                <patternFill>
                  <bgColor rgb="FFFFE593"/>
                </patternFill>
              </fill>
            </x14:dxf>
          </x14:cfRule>
          <x14:cfRule type="containsText" priority="15688" operator="containsText" id="{9892A02B-F4AF-4A45-A626-524CA21B021E}">
            <xm:f>NOT(ISERROR(SEARCH(Einstellungen!$A$5,G25)))</xm:f>
            <xm:f>Einstellungen!$A$5</xm:f>
            <x14:dxf>
              <font>
                <color theme="1"/>
              </font>
              <fill>
                <patternFill>
                  <bgColor theme="0" tint="-0.24994659260841701"/>
                </patternFill>
              </fill>
            </x14:dxf>
          </x14:cfRule>
          <x14:cfRule type="containsText" priority="15689" operator="containsText" id="{299A120B-CFFE-46EC-A369-8826112F9825}">
            <xm:f>NOT(ISERROR(SEARCH(Einstellungen!$A$4,G25)))</xm:f>
            <xm:f>Einstellungen!$A$4</xm:f>
            <x14:dxf>
              <font>
                <color theme="1"/>
              </font>
              <fill>
                <patternFill>
                  <bgColor theme="0" tint="-0.24994659260841701"/>
                </patternFill>
              </fill>
            </x14:dxf>
          </x14:cfRule>
          <x14:cfRule type="containsText" priority="15690" operator="containsText" id="{C8590320-4695-476C-9E91-54DDB2C0621D}">
            <xm:f>NOT(ISERROR(SEARCH(Einstellungen!$A$3,G25)))</xm:f>
            <xm:f>Einstellungen!$A$3</xm:f>
            <x14:dxf>
              <font>
                <color theme="0"/>
              </font>
              <fill>
                <patternFill>
                  <bgColor rgb="FF002060"/>
                </patternFill>
              </fill>
            </x14:dxf>
          </x14:cfRule>
          <x14:cfRule type="containsText" priority="15691" operator="containsText" id="{0C1F880E-E05B-4DA3-BBFD-F9AED08E5980}">
            <xm:f>NOT(ISERROR(SEARCH(Einstellungen!$A$2,G25)))</xm:f>
            <xm:f>Einstellungen!$A$2</xm:f>
            <x14:dxf>
              <font>
                <color theme="0"/>
              </font>
              <fill>
                <patternFill>
                  <bgColor rgb="FF0070C0"/>
                </patternFill>
              </fill>
            </x14:dxf>
          </x14:cfRule>
          <x14:cfRule type="containsText" priority="15692" operator="containsText" id="{19E32E34-7C2E-4A09-BDD4-F8ACD9353706}">
            <xm:f>NOT(ISERROR(SEARCH(Einstellungen!$A$1,G25)))</xm:f>
            <xm:f>Einstellungen!$A$1</xm:f>
            <x14:dxf>
              <font>
                <color theme="0"/>
              </font>
              <fill>
                <patternFill>
                  <bgColor rgb="FF00B050"/>
                </patternFill>
              </fill>
            </x14:dxf>
          </x14:cfRule>
          <x14:cfRule type="expression" priority="15693" id="{D55947FC-52DC-4E00-8753-53DC5B20FED6}">
            <xm:f>IF(VLOOKUP(G$4,Einstellungen!$E$2:$E$15,1,FALSE)=G$4,TRUE,FALSE)</xm:f>
            <x14:dxf>
              <fill>
                <patternFill>
                  <bgColor rgb="FFFFE593"/>
                </patternFill>
              </fill>
            </x14:dxf>
          </x14:cfRule>
          <x14:cfRule type="expression" priority="15694" id="{F4E426EF-AD62-47D0-A6C4-276A59DA654B}">
            <xm:f>IF(VLOOKUP(G$7,Einstellungen!$E$2:$E$15,1,FALSE)=G$7,TRUE,FALSE)</xm:f>
            <x14:dxf>
              <fill>
                <patternFill>
                  <bgColor rgb="FFFFE593"/>
                </patternFill>
              </fill>
            </x14:dxf>
          </x14:cfRule>
          <x14:cfRule type="containsText" priority="15697" operator="containsText" id="{EA54783C-83C7-419C-990D-0FD0E83B3BD4}">
            <xm:f>NOT(ISERROR(SEARCH(Einstellungen!$A$7,G25)))</xm:f>
            <xm:f>Einstellungen!$A$7</xm:f>
            <x14:dxf>
              <font>
                <color theme="1"/>
              </font>
              <fill>
                <patternFill>
                  <bgColor theme="7" tint="0.79998168889431442"/>
                </patternFill>
              </fill>
            </x14:dxf>
          </x14:cfRule>
          <x14:cfRule type="containsText" priority="15698" operator="containsText" id="{94C40963-48BD-4493-8261-4EEE26931BC9}">
            <xm:f>NOT(ISERROR(SEARCH(Einstellungen!$A$9,G25)))</xm:f>
            <xm:f>Einstellungen!$A$9</xm:f>
            <x14:dxf>
              <font>
                <color theme="0"/>
              </font>
              <fill>
                <patternFill>
                  <bgColor theme="2" tint="-0.749961851863155"/>
                </patternFill>
              </fill>
            </x14:dxf>
          </x14:cfRule>
          <x14:cfRule type="containsText" priority="15699" operator="containsText" id="{6593A4AD-9D4D-49AF-9606-5AB768BE91F0}">
            <xm:f>NOT(ISERROR(SEARCH(Einstellungen!$A$8,G25)))</xm:f>
            <xm:f>Einstellungen!$A$8</xm:f>
            <x14:dxf>
              <font>
                <color theme="1"/>
              </font>
              <fill>
                <patternFill>
                  <bgColor theme="7" tint="0.79998168889431442"/>
                </patternFill>
              </fill>
            </x14:dxf>
          </x14:cfRule>
          <x14:cfRule type="containsText" priority="15700" operator="containsText" id="{06B68D0B-45B8-4EA1-9012-542A81FDAED8}">
            <xm:f>NOT(ISERROR(SEARCH(Einstellungen!$A$17,G25)))</xm:f>
            <xm:f>Einstellungen!$A$17</xm:f>
            <x14:dxf>
              <font>
                <color theme="1"/>
              </font>
              <fill>
                <patternFill>
                  <bgColor theme="7" tint="-0.24994659260841701"/>
                </patternFill>
              </fill>
            </x14:dxf>
          </x14:cfRule>
          <x14:cfRule type="containsText" priority="15701" operator="containsText" id="{532027A1-71F9-40F4-AAC2-40619040BCE0}">
            <xm:f>NOT(ISERROR(SEARCH(Einstellungen!$A$16,G25)))</xm:f>
            <xm:f>Einstellungen!$A$16</xm:f>
            <x14:dxf>
              <font>
                <color theme="1"/>
              </font>
              <fill>
                <patternFill>
                  <bgColor theme="7" tint="0.39994506668294322"/>
                </patternFill>
              </fill>
            </x14:dxf>
          </x14:cfRule>
          <x14:cfRule type="containsText" priority="15702" operator="containsText" id="{BC3A9FCD-F23B-41A5-A354-6F7746C9C16A}">
            <xm:f>NOT(ISERROR(SEARCH(Einstellungen!$A$15,G25)))</xm:f>
            <xm:f>Einstellungen!$A$15</xm:f>
            <x14:dxf>
              <font>
                <color theme="1"/>
              </font>
              <fill>
                <patternFill>
                  <bgColor theme="4" tint="0.39994506668294322"/>
                </patternFill>
              </fill>
            </x14:dxf>
          </x14:cfRule>
          <x14:cfRule type="containsText" priority="15703" operator="containsText" id="{4A42EB15-424D-4173-B4CB-FF72223B6EB7}">
            <xm:f>NOT(ISERROR(SEARCH(Einstellungen!$A$14,G25)))</xm:f>
            <xm:f>Einstellungen!$A$14</xm:f>
            <x14:dxf>
              <font>
                <color theme="1"/>
              </font>
              <fill>
                <patternFill>
                  <bgColor theme="0" tint="-0.24994659260841701"/>
                </patternFill>
              </fill>
            </x14:dxf>
          </x14:cfRule>
          <x14:cfRule type="containsText" priority="15704" operator="containsText" id="{59DDC101-2BDD-42BD-B185-93E86429EF17}">
            <xm:f>NOT(ISERROR(SEARCH(Einstellungen!$A$12,G25)))</xm:f>
            <xm:f>Einstellungen!$A$12</xm:f>
            <x14:dxf>
              <font>
                <color theme="1"/>
              </font>
              <fill>
                <patternFill>
                  <bgColor theme="0" tint="-0.24994659260841701"/>
                </patternFill>
              </fill>
            </x14:dxf>
          </x14:cfRule>
          <x14:cfRule type="containsText" priority="15705" operator="containsText" id="{BF1E53E0-374F-4E4C-830A-6DD9739F8FE3}">
            <xm:f>NOT(ISERROR(SEARCH(Einstellungen!$A$13,G25)))</xm:f>
            <xm:f>Einstellungen!$A$13</xm:f>
            <x14:dxf>
              <font>
                <color theme="1"/>
              </font>
              <fill>
                <patternFill>
                  <bgColor theme="0" tint="-0.24994659260841701"/>
                </patternFill>
              </fill>
            </x14:dxf>
          </x14:cfRule>
          <x14:cfRule type="containsText" priority="15706" operator="containsText" id="{61313FF4-8B6C-4C1E-8B67-CEFF1C1008D8}">
            <xm:f>NOT(ISERROR(SEARCH(Einstellungen!$A$11,G25)))</xm:f>
            <xm:f>Einstellungen!$A$11</xm:f>
            <x14:dxf>
              <font>
                <color theme="1"/>
              </font>
              <fill>
                <patternFill>
                  <bgColor theme="5" tint="0.39994506668294322"/>
                </patternFill>
              </fill>
            </x14:dxf>
          </x14:cfRule>
          <x14:cfRule type="containsText" priority="15707" operator="containsText" id="{E1D94572-D429-4E6F-944F-A6DF307616A7}">
            <xm:f>NOT(ISERROR(SEARCH(Einstellungen!$A$5,G25)))</xm:f>
            <xm:f>Einstellungen!$A$5</xm:f>
            <x14:dxf>
              <font>
                <color theme="0"/>
              </font>
              <fill>
                <patternFill>
                  <bgColor theme="2" tint="-0.749961851863155"/>
                </patternFill>
              </fill>
            </x14:dxf>
          </x14:cfRule>
          <x14:cfRule type="containsText" priority="15708" operator="containsText" id="{21406038-199B-44A7-807C-451DA534F42C}">
            <xm:f>NOT(ISERROR(SEARCH(Einstellungen!$A$4,G25)))</xm:f>
            <xm:f>Einstellungen!$A$4</xm:f>
            <x14:dxf>
              <font>
                <color theme="1"/>
              </font>
              <fill>
                <patternFill>
                  <bgColor theme="0" tint="-0.24994659260841701"/>
                </patternFill>
              </fill>
            </x14:dxf>
          </x14:cfRule>
          <x14:cfRule type="containsText" priority="15709" operator="containsText" id="{6921A639-2BA8-4CD1-8ACE-D87A6169CDC8}">
            <xm:f>NOT(ISERROR(SEARCH(Einstellungen!$A$3,G25)))</xm:f>
            <xm:f>Einstellungen!$A$3</xm:f>
            <x14:dxf>
              <font>
                <color theme="0"/>
              </font>
              <fill>
                <patternFill>
                  <bgColor rgb="FF002060"/>
                </patternFill>
              </fill>
            </x14:dxf>
          </x14:cfRule>
          <x14:cfRule type="containsText" priority="15710" operator="containsText" id="{E7413498-43DC-4FCF-84BB-B4A4D7A4AE26}">
            <xm:f>NOT(ISERROR(SEARCH(Einstellungen!$A$2,G25)))</xm:f>
            <xm:f>Einstellungen!$A$2</xm:f>
            <x14:dxf>
              <font>
                <color theme="0"/>
              </font>
              <fill>
                <patternFill>
                  <bgColor rgb="FF0070C0"/>
                </patternFill>
              </fill>
            </x14:dxf>
          </x14:cfRule>
          <x14:cfRule type="containsText" priority="15711" operator="containsText" id="{C3CD31E8-06E6-4067-B0E4-DC0124E45385}">
            <xm:f>NOT(ISERROR(SEARCH(Einstellungen!$A$1,G25)))</xm:f>
            <xm:f>Einstellungen!$A$1</xm:f>
            <x14:dxf>
              <font>
                <color theme="0"/>
              </font>
              <fill>
                <patternFill>
                  <bgColor rgb="FF00B050"/>
                </patternFill>
              </fill>
            </x14:dxf>
          </x14:cfRule>
          <x14:cfRule type="expression" priority="15712" id="{47580E55-5B32-43C6-ACA6-C82D6A6C6459}">
            <xm:f>IF(VLOOKUP(G$4,Einstellungen!$E$2:$E$15,1,FALSE)=G$4,TRUE,FALSE)</xm:f>
            <x14:dxf>
              <fill>
                <patternFill>
                  <bgColor rgb="FFFFE593"/>
                </patternFill>
              </fill>
            </x14:dxf>
          </x14:cfRule>
          <x14:cfRule type="expression" priority="15713" id="{76548E3F-A18B-4721-AC0F-0B1B6EFEBA50}">
            <xm:f>IF(VLOOKUP(G$7,Einstellungen!$E$2:$E$15,1,FALSE)=G$7,TRUE,FALSE)</xm:f>
            <x14:dxf>
              <fill>
                <patternFill>
                  <bgColor rgb="FFFFE593"/>
                </patternFill>
              </fill>
            </x14:dxf>
          </x14:cfRule>
          <x14:cfRule type="containsText" priority="15716" operator="containsText" id="{E0095F1C-983B-4C72-8D5A-0D8AFD189EE9}">
            <xm:f>NOT(ISERROR(SEARCH(Einstellungen!$A$5,G25)))</xm:f>
            <xm:f>Einstellungen!$A$5</xm:f>
            <x14:dxf>
              <font>
                <color theme="1"/>
              </font>
              <fill>
                <patternFill>
                  <bgColor theme="0" tint="-0.24994659260841701"/>
                </patternFill>
              </fill>
            </x14:dxf>
          </x14:cfRule>
          <x14:cfRule type="containsText" priority="15717" operator="containsText" id="{4406B23D-390A-46A5-8345-5B0492B9C8D6}">
            <xm:f>NOT(ISERROR(SEARCH(Einstellungen!$A$4,G25)))</xm:f>
            <xm:f>Einstellungen!$A$4</xm:f>
            <x14:dxf>
              <font>
                <color theme="1"/>
              </font>
              <fill>
                <patternFill>
                  <bgColor theme="0" tint="-0.24994659260841701"/>
                </patternFill>
              </fill>
            </x14:dxf>
          </x14:cfRule>
          <x14:cfRule type="containsText" priority="15718" operator="containsText" id="{063236C4-11D9-4366-B53F-6CDCF0621580}">
            <xm:f>NOT(ISERROR(SEARCH(Einstellungen!$A$3,G25)))</xm:f>
            <xm:f>Einstellungen!$A$3</xm:f>
            <x14:dxf>
              <font>
                <color theme="0"/>
              </font>
              <fill>
                <patternFill>
                  <bgColor rgb="FF002060"/>
                </patternFill>
              </fill>
            </x14:dxf>
          </x14:cfRule>
          <x14:cfRule type="containsText" priority="15719" operator="containsText" id="{D4AE1427-B886-4B5D-940B-4417F27190E4}">
            <xm:f>NOT(ISERROR(SEARCH(Einstellungen!$A$2,G25)))</xm:f>
            <xm:f>Einstellungen!$A$2</xm:f>
            <x14:dxf>
              <font>
                <color theme="0"/>
              </font>
              <fill>
                <patternFill>
                  <bgColor rgb="FF0070C0"/>
                </patternFill>
              </fill>
            </x14:dxf>
          </x14:cfRule>
          <x14:cfRule type="containsText" priority="15720" operator="containsText" id="{6C3E1701-B090-4C4B-9186-F0150671E908}">
            <xm:f>NOT(ISERROR(SEARCH(Einstellungen!$A$1,G25)))</xm:f>
            <xm:f>Einstellungen!$A$1</xm:f>
            <x14:dxf>
              <font>
                <color theme="0"/>
              </font>
              <fill>
                <patternFill>
                  <bgColor rgb="FF00B050"/>
                </patternFill>
              </fill>
            </x14:dxf>
          </x14:cfRule>
          <x14:cfRule type="expression" priority="15721" id="{C7127590-1340-42C9-866A-1034F27A45C3}">
            <xm:f>IF(VLOOKUP(G$4,Einstellungen!$E$2:$E$15,1,FALSE)=G$4,TRUE,FALSE)</xm:f>
            <x14:dxf>
              <fill>
                <patternFill>
                  <bgColor rgb="FFFFE593"/>
                </patternFill>
              </fill>
            </x14:dxf>
          </x14:cfRule>
          <x14:cfRule type="expression" priority="15722" id="{64D44382-75C2-4299-94CC-86257F9C3C86}">
            <xm:f>IF(VLOOKUP(G$7,Einstellungen!$E$2:$E$15,1,FALSE)=G$7,TRUE,FALSE)</xm:f>
            <x14:dxf>
              <fill>
                <patternFill>
                  <bgColor rgb="FFFFE593"/>
                </patternFill>
              </fill>
            </x14:dxf>
          </x14:cfRule>
          <x14:cfRule type="containsText" priority="15725" operator="containsText" id="{B284755F-8F44-46FA-B69F-69ED643C551F}">
            <xm:f>NOT(ISERROR(SEARCH(Einstellungen!$A$18,G25)))</xm:f>
            <xm:f>Einstellungen!$A$18</xm:f>
            <x14:dxf>
              <font>
                <color rgb="FFFFFF00"/>
              </font>
              <fill>
                <patternFill>
                  <bgColor theme="8" tint="-0.499984740745262"/>
                </patternFill>
              </fill>
            </x14:dxf>
          </x14:cfRule>
          <x14:cfRule type="containsText" priority="15726" operator="containsText" id="{E2ECE2C0-D650-4814-9EF9-C17AED7A990A}">
            <xm:f>NOT(ISERROR(SEARCH(Einstellungen!$A$7,G25)))</xm:f>
            <xm:f>Einstellungen!$A$7</xm:f>
            <x14:dxf>
              <font>
                <color theme="1"/>
              </font>
              <fill>
                <patternFill>
                  <bgColor theme="7" tint="0.79998168889431442"/>
                </patternFill>
              </fill>
            </x14:dxf>
          </x14:cfRule>
          <x14:cfRule type="containsText" priority="15727" operator="containsText" id="{870941BD-B3C3-4AE8-A71F-2E0EE2E3E03D}">
            <xm:f>NOT(ISERROR(SEARCH(Einstellungen!$A$9,G25)))</xm:f>
            <xm:f>Einstellungen!$A$9</xm:f>
            <x14:dxf>
              <font>
                <color theme="0"/>
              </font>
              <fill>
                <patternFill>
                  <bgColor theme="2" tint="-0.749961851863155"/>
                </patternFill>
              </fill>
            </x14:dxf>
          </x14:cfRule>
          <x14:cfRule type="containsText" priority="15728" operator="containsText" id="{70F57ECB-C57D-40BD-A2A2-E19A1B3C6CED}">
            <xm:f>NOT(ISERROR(SEARCH(Einstellungen!$A$8,G25)))</xm:f>
            <xm:f>Einstellungen!$A$8</xm:f>
            <x14:dxf>
              <font>
                <color theme="1"/>
              </font>
              <fill>
                <patternFill>
                  <bgColor theme="7" tint="0.79998168889431442"/>
                </patternFill>
              </fill>
            </x14:dxf>
          </x14:cfRule>
          <x14:cfRule type="containsText" priority="15729" operator="containsText" id="{1BC1EB19-506D-438C-BEFC-3374E5BE49E3}">
            <xm:f>NOT(ISERROR(SEARCH(Einstellungen!$A$17,G25)))</xm:f>
            <xm:f>Einstellungen!$A$17</xm:f>
            <x14:dxf>
              <font>
                <color theme="1"/>
              </font>
              <fill>
                <patternFill>
                  <bgColor theme="7" tint="-0.24994659260841701"/>
                </patternFill>
              </fill>
            </x14:dxf>
          </x14:cfRule>
          <x14:cfRule type="containsText" priority="15730" operator="containsText" id="{C0F6ED0E-E5B3-4E88-AF03-F61E0EA31561}">
            <xm:f>NOT(ISERROR(SEARCH(Einstellungen!$A$16,G25)))</xm:f>
            <xm:f>Einstellungen!$A$16</xm:f>
            <x14:dxf>
              <font>
                <color theme="1"/>
              </font>
              <fill>
                <patternFill>
                  <bgColor theme="7" tint="0.39994506668294322"/>
                </patternFill>
              </fill>
            </x14:dxf>
          </x14:cfRule>
          <x14:cfRule type="containsText" priority="15731" operator="containsText" id="{06D445AA-7A57-4CAD-A611-7D0816286FAB}">
            <xm:f>NOT(ISERROR(SEARCH(Einstellungen!$A$15,G25)))</xm:f>
            <xm:f>Einstellungen!$A$15</xm:f>
            <x14:dxf>
              <font>
                <color theme="1"/>
              </font>
              <fill>
                <patternFill>
                  <bgColor theme="4" tint="0.39994506668294322"/>
                </patternFill>
              </fill>
            </x14:dxf>
          </x14:cfRule>
          <x14:cfRule type="containsText" priority="15732" operator="containsText" id="{7C3640F5-28A0-4B91-ADE5-0C22E95AF6B2}">
            <xm:f>NOT(ISERROR(SEARCH(Einstellungen!$A$14,G25)))</xm:f>
            <xm:f>Einstellungen!$A$14</xm:f>
            <x14:dxf>
              <font>
                <color theme="1"/>
              </font>
              <fill>
                <patternFill>
                  <bgColor theme="0" tint="-0.24994659260841701"/>
                </patternFill>
              </fill>
            </x14:dxf>
          </x14:cfRule>
          <x14:cfRule type="containsText" priority="15733" operator="containsText" id="{92898DC7-1E16-4CFA-9FE6-D34363849531}">
            <xm:f>NOT(ISERROR(SEARCH(Einstellungen!$A$12,G25)))</xm:f>
            <xm:f>Einstellungen!$A$12</xm:f>
            <x14:dxf>
              <font>
                <color theme="1"/>
              </font>
              <fill>
                <patternFill>
                  <bgColor theme="0" tint="-0.24994659260841701"/>
                </patternFill>
              </fill>
            </x14:dxf>
          </x14:cfRule>
          <x14:cfRule type="containsText" priority="15734" operator="containsText" id="{6E6CF6B9-C886-4222-AE63-CBCD92E32AD8}">
            <xm:f>NOT(ISERROR(SEARCH(Einstellungen!$A$13,G25)))</xm:f>
            <xm:f>Einstellungen!$A$13</xm:f>
            <x14:dxf>
              <font>
                <color theme="1"/>
              </font>
              <fill>
                <patternFill>
                  <bgColor theme="0" tint="-0.24994659260841701"/>
                </patternFill>
              </fill>
            </x14:dxf>
          </x14:cfRule>
          <x14:cfRule type="containsText" priority="15735" operator="containsText" id="{61F7828E-F884-48E1-92F8-8BD01EE41F94}">
            <xm:f>NOT(ISERROR(SEARCH(Einstellungen!$A$11,G25)))</xm:f>
            <xm:f>Einstellungen!$A$11</xm:f>
            <x14:dxf>
              <font>
                <color theme="1"/>
              </font>
              <fill>
                <patternFill>
                  <bgColor theme="5" tint="0.39994506668294322"/>
                </patternFill>
              </fill>
            </x14:dxf>
          </x14:cfRule>
          <x14:cfRule type="containsText" priority="15736" operator="containsText" id="{D050C467-2C3B-4CAF-83D4-C360FA1C259E}">
            <xm:f>NOT(ISERROR(SEARCH(Einstellungen!$A$5,G25)))</xm:f>
            <xm:f>Einstellungen!$A$5</xm:f>
            <x14:dxf>
              <font>
                <color theme="0"/>
              </font>
              <fill>
                <patternFill>
                  <bgColor theme="2" tint="-0.749961851863155"/>
                </patternFill>
              </fill>
            </x14:dxf>
          </x14:cfRule>
          <x14:cfRule type="containsText" priority="15737" operator="containsText" id="{B9C1663E-A51E-427D-9EFF-930DEEB562AB}">
            <xm:f>NOT(ISERROR(SEARCH(Einstellungen!$A$4,G25)))</xm:f>
            <xm:f>Einstellungen!$A$4</xm:f>
            <x14:dxf>
              <font>
                <color theme="1"/>
              </font>
              <fill>
                <patternFill>
                  <bgColor theme="0" tint="-0.24994659260841701"/>
                </patternFill>
              </fill>
            </x14:dxf>
          </x14:cfRule>
          <x14:cfRule type="containsText" priority="15738" operator="containsText" id="{8B8741C8-0553-48F6-9C48-31B382270AF8}">
            <xm:f>NOT(ISERROR(SEARCH(Einstellungen!$A$3,G25)))</xm:f>
            <xm:f>Einstellungen!$A$3</xm:f>
            <x14:dxf>
              <font>
                <color theme="0"/>
              </font>
              <fill>
                <patternFill>
                  <bgColor rgb="FF002060"/>
                </patternFill>
              </fill>
            </x14:dxf>
          </x14:cfRule>
          <x14:cfRule type="containsText" priority="15739" operator="containsText" id="{1C747AF6-0417-4F6A-83A8-9A3BEC63F778}">
            <xm:f>NOT(ISERROR(SEARCH(Einstellungen!$A$2,G25)))</xm:f>
            <xm:f>Einstellungen!$A$2</xm:f>
            <x14:dxf>
              <font>
                <color theme="0"/>
              </font>
              <fill>
                <patternFill>
                  <bgColor rgb="FF0070C0"/>
                </patternFill>
              </fill>
            </x14:dxf>
          </x14:cfRule>
          <x14:cfRule type="containsText" priority="15740" operator="containsText" id="{416F0E41-A90D-42D7-988E-873B1854ED88}">
            <xm:f>NOT(ISERROR(SEARCH(Einstellungen!$A$1,G25)))</xm:f>
            <xm:f>Einstellungen!$A$1</xm:f>
            <x14:dxf>
              <font>
                <color theme="0"/>
              </font>
              <fill>
                <patternFill>
                  <bgColor rgb="FF00B050"/>
                </patternFill>
              </fill>
            </x14:dxf>
          </x14:cfRule>
          <x14:cfRule type="expression" priority="15741" id="{E0B04B4B-83B7-4C57-AD5A-F1FCDA48B931}">
            <xm:f>IF(VLOOKUP(G$4,Einstellungen!$E$2:$E$15,1,FALSE)=G$4,TRUE,FALSE)</xm:f>
            <x14:dxf>
              <fill>
                <patternFill>
                  <bgColor rgb="FFFFE593"/>
                </patternFill>
              </fill>
            </x14:dxf>
          </x14:cfRule>
          <x14:cfRule type="expression" priority="15742" id="{990AEB0E-199C-47D0-92E7-43C21977EEAF}">
            <xm:f>IF(VLOOKUP(G$7,Einstellungen!$E$2:$E$15,1,FALSE)=G$7,TRUE,FALSE)</xm:f>
            <x14:dxf>
              <fill>
                <patternFill>
                  <bgColor rgb="FFFFE593"/>
                </patternFill>
              </fill>
            </x14:dxf>
          </x14:cfRule>
          <x14:cfRule type="containsText" priority="15745" operator="containsText" id="{0082AF18-C26B-4EFB-8A16-C151B9C7A3B1}">
            <xm:f>NOT(ISERROR(SEARCH(Einstellungen!$A$5,G25)))</xm:f>
            <xm:f>Einstellungen!$A$5</xm:f>
            <x14:dxf>
              <font>
                <color theme="1"/>
              </font>
              <fill>
                <patternFill>
                  <bgColor theme="0" tint="-0.24994659260841701"/>
                </patternFill>
              </fill>
            </x14:dxf>
          </x14:cfRule>
          <x14:cfRule type="containsText" priority="15746" operator="containsText" id="{2B187977-44C6-4630-A9A5-1A4453A0D3F8}">
            <xm:f>NOT(ISERROR(SEARCH(Einstellungen!$A$4,G25)))</xm:f>
            <xm:f>Einstellungen!$A$4</xm:f>
            <x14:dxf>
              <font>
                <color theme="1"/>
              </font>
              <fill>
                <patternFill>
                  <bgColor theme="0" tint="-0.24994659260841701"/>
                </patternFill>
              </fill>
            </x14:dxf>
          </x14:cfRule>
          <x14:cfRule type="containsText" priority="15747" operator="containsText" id="{483ED07A-3192-423E-B4F8-33EA7AB69A1F}">
            <xm:f>NOT(ISERROR(SEARCH(Einstellungen!$A$3,G25)))</xm:f>
            <xm:f>Einstellungen!$A$3</xm:f>
            <x14:dxf>
              <font>
                <color theme="0"/>
              </font>
              <fill>
                <patternFill>
                  <bgColor rgb="FF002060"/>
                </patternFill>
              </fill>
            </x14:dxf>
          </x14:cfRule>
          <x14:cfRule type="containsText" priority="15748" operator="containsText" id="{0EE44D13-72F6-4716-ABFD-87245010B2C8}">
            <xm:f>NOT(ISERROR(SEARCH(Einstellungen!$A$2,G25)))</xm:f>
            <xm:f>Einstellungen!$A$2</xm:f>
            <x14:dxf>
              <font>
                <color theme="0"/>
              </font>
              <fill>
                <patternFill>
                  <bgColor rgb="FF0070C0"/>
                </patternFill>
              </fill>
            </x14:dxf>
          </x14:cfRule>
          <x14:cfRule type="containsText" priority="15749" operator="containsText" id="{9A7D1599-DD58-4A2C-A6F9-C8976B1FD18D}">
            <xm:f>NOT(ISERROR(SEARCH(Einstellungen!$A$1,G25)))</xm:f>
            <xm:f>Einstellungen!$A$1</xm:f>
            <x14:dxf>
              <font>
                <color theme="0"/>
              </font>
              <fill>
                <patternFill>
                  <bgColor rgb="FF00B050"/>
                </patternFill>
              </fill>
            </x14:dxf>
          </x14:cfRule>
          <xm:sqref>G25:NG25</xm:sqref>
        </x14:conditionalFormatting>
        <x14:conditionalFormatting xmlns:xm="http://schemas.microsoft.com/office/excel/2006/main">
          <x14:cfRule type="expression" priority="15750" id="{0253B809-0D7B-48E5-B64B-A2CA0A2E4B76}">
            <xm:f>IF(VLOOKUP(G$4,Einstellungen!$E$2:$E$15,1,FALSE)=G$4,TRUE,FALSE)</xm:f>
            <x14:dxf>
              <fill>
                <patternFill>
                  <bgColor rgb="FFFFE593"/>
                </patternFill>
              </fill>
            </x14:dxf>
          </x14:cfRule>
          <x14:cfRule type="expression" priority="15751" id="{C39A685C-4950-44BF-991C-CF127BC39941}">
            <xm:f>IF(VLOOKUP(G$7,Einstellungen!$E$2:$E$15,1,FALSE)=G$7,TRUE,FALSE)</xm:f>
            <x14:dxf>
              <fill>
                <patternFill>
                  <bgColor rgb="FFFFE593"/>
                </patternFill>
              </fill>
            </x14:dxf>
          </x14:cfRule>
          <xm:sqref>G25:NG25</xm:sqref>
        </x14:conditionalFormatting>
        <x14:conditionalFormatting xmlns:xm="http://schemas.microsoft.com/office/excel/2006/main">
          <x14:cfRule type="containsText" priority="8281" operator="containsText" id="{0241699B-83CB-479F-969A-07A7658A5635}">
            <xm:f>NOT(ISERROR(SEARCH(Einstellungen!$A$19,G26)))</xm:f>
            <xm:f>Einstellungen!$A$19</xm:f>
            <x14:dxf>
              <font>
                <color theme="1"/>
              </font>
              <fill>
                <patternFill>
                  <bgColor theme="0" tint="-0.24994659260841701"/>
                </patternFill>
              </fill>
            </x14:dxf>
          </x14:cfRule>
          <xm:sqref>G26:NG27</xm:sqref>
        </x14:conditionalFormatting>
        <x14:conditionalFormatting xmlns:xm="http://schemas.microsoft.com/office/excel/2006/main">
          <x14:cfRule type="containsText" priority="8282" operator="containsText" id="{7BF31D10-CA94-411D-A380-A9A08A7D89E4}">
            <xm:f>NOT(ISERROR(SEARCH(Einstellungen!$A$20,G26)))</xm:f>
            <xm:f>Einstellungen!$A$20</xm:f>
            <x14:dxf>
              <font>
                <color theme="1"/>
              </font>
              <fill>
                <patternFill>
                  <bgColor theme="0" tint="-0.24994659260841701"/>
                </patternFill>
              </fill>
            </x14:dxf>
          </x14:cfRule>
          <x14:cfRule type="containsText" priority="8283" operator="containsText" id="{966DAEA8-18F0-4685-8153-A94EB47073FC}">
            <xm:f>NOT(ISERROR(SEARCH(Einstellungen!$A$7,G26)))</xm:f>
            <xm:f>Einstellungen!$A$7</xm:f>
            <x14:dxf>
              <font>
                <color theme="1"/>
              </font>
              <fill>
                <patternFill>
                  <bgColor theme="7" tint="0.79998168889431442"/>
                </patternFill>
              </fill>
            </x14:dxf>
          </x14:cfRule>
          <x14:cfRule type="containsText" priority="8284" operator="containsText" id="{39FED745-4FD0-4745-A298-CC5CF86EC666}">
            <xm:f>NOT(ISERROR(SEARCH(Einstellungen!$A$9,G26)))</xm:f>
            <xm:f>Einstellungen!$A$9</xm:f>
            <x14:dxf>
              <font>
                <color theme="0"/>
              </font>
              <fill>
                <patternFill>
                  <bgColor theme="2" tint="-0.749961851863155"/>
                </patternFill>
              </fill>
            </x14:dxf>
          </x14:cfRule>
          <x14:cfRule type="containsText" priority="8285" operator="containsText" id="{47AAE4D3-CB34-493C-8AA0-537BED3C520A}">
            <xm:f>NOT(ISERROR(SEARCH(Einstellungen!$A$8,G26)))</xm:f>
            <xm:f>Einstellungen!$A$8</xm:f>
            <x14:dxf>
              <font>
                <color theme="1"/>
              </font>
              <fill>
                <patternFill>
                  <bgColor theme="7" tint="0.79998168889431442"/>
                </patternFill>
              </fill>
            </x14:dxf>
          </x14:cfRule>
          <x14:cfRule type="containsText" priority="8286" operator="containsText" id="{1EBEF138-B6DB-4D92-ABD3-0B062134D874}">
            <xm:f>NOT(ISERROR(SEARCH(Einstellungen!$A$17,G26)))</xm:f>
            <xm:f>Einstellungen!$A$17</xm:f>
            <x14:dxf>
              <font>
                <color theme="1"/>
              </font>
              <fill>
                <patternFill>
                  <bgColor theme="7" tint="-0.24994659260841701"/>
                </patternFill>
              </fill>
            </x14:dxf>
          </x14:cfRule>
          <x14:cfRule type="containsText" priority="8287" operator="containsText" id="{979F244A-11FF-40CE-9D1A-E44D3F257DB9}">
            <xm:f>NOT(ISERROR(SEARCH(Einstellungen!$A$16,G26)))</xm:f>
            <xm:f>Einstellungen!$A$16</xm:f>
            <x14:dxf>
              <font>
                <color theme="1"/>
              </font>
              <fill>
                <patternFill>
                  <bgColor theme="7" tint="0.39994506668294322"/>
                </patternFill>
              </fill>
            </x14:dxf>
          </x14:cfRule>
          <x14:cfRule type="containsText" priority="8288" operator="containsText" id="{6C60FA82-6E93-4655-BF39-DB9036C06379}">
            <xm:f>NOT(ISERROR(SEARCH(Einstellungen!$A$15,G26)))</xm:f>
            <xm:f>Einstellungen!$A$15</xm:f>
            <x14:dxf>
              <font>
                <color theme="1"/>
              </font>
              <fill>
                <patternFill>
                  <bgColor theme="4" tint="0.39994506668294322"/>
                </patternFill>
              </fill>
            </x14:dxf>
          </x14:cfRule>
          <x14:cfRule type="containsText" priority="8289" operator="containsText" id="{35BD67B9-D065-40BE-A0C0-45BFF0DAC14B}">
            <xm:f>NOT(ISERROR(SEARCH(Einstellungen!$A$14,G26)))</xm:f>
            <xm:f>Einstellungen!$A$14</xm:f>
            <x14:dxf>
              <font>
                <color theme="1"/>
              </font>
              <fill>
                <patternFill>
                  <bgColor theme="0" tint="-0.24994659260841701"/>
                </patternFill>
              </fill>
            </x14:dxf>
          </x14:cfRule>
          <x14:cfRule type="containsText" priority="8290" operator="containsText" id="{A2B8A583-36CF-41C2-9857-E4808C3AD7CC}">
            <xm:f>NOT(ISERROR(SEARCH(Einstellungen!$A$12,G26)))</xm:f>
            <xm:f>Einstellungen!$A$12</xm:f>
            <x14:dxf>
              <font>
                <color theme="1"/>
              </font>
              <fill>
                <patternFill>
                  <bgColor theme="0" tint="-0.24994659260841701"/>
                </patternFill>
              </fill>
            </x14:dxf>
          </x14:cfRule>
          <x14:cfRule type="containsText" priority="8291" operator="containsText" id="{C043B170-3175-4C14-ADB7-07B4AD9FC1B1}">
            <xm:f>NOT(ISERROR(SEARCH(Einstellungen!$A$13,G26)))</xm:f>
            <xm:f>Einstellungen!$A$13</xm:f>
            <x14:dxf>
              <font>
                <color theme="1"/>
              </font>
              <fill>
                <patternFill>
                  <bgColor theme="0" tint="-0.24994659260841701"/>
                </patternFill>
              </fill>
            </x14:dxf>
          </x14:cfRule>
          <x14:cfRule type="containsText" priority="8292" operator="containsText" id="{89C65ACD-0E29-48F4-866F-8CE6EB358E04}">
            <xm:f>NOT(ISERROR(SEARCH(Einstellungen!$A$11,G26)))</xm:f>
            <xm:f>Einstellungen!$A$11</xm:f>
            <x14:dxf>
              <font>
                <color theme="1"/>
              </font>
              <fill>
                <patternFill>
                  <bgColor theme="5" tint="0.39994506668294322"/>
                </patternFill>
              </fill>
            </x14:dxf>
          </x14:cfRule>
          <x14:cfRule type="containsText" priority="8293" operator="containsText" id="{2466E565-5B3E-4909-BC63-320EB2AEF337}">
            <xm:f>NOT(ISERROR(SEARCH(Einstellungen!$A$5,G26)))</xm:f>
            <xm:f>Einstellungen!$A$5</xm:f>
            <x14:dxf>
              <font>
                <color theme="0"/>
              </font>
              <fill>
                <patternFill>
                  <bgColor theme="2" tint="-0.749961851863155"/>
                </patternFill>
              </fill>
            </x14:dxf>
          </x14:cfRule>
          <x14:cfRule type="containsText" priority="8294" operator="containsText" id="{AFB6BCF2-88D4-4F77-A8B6-CAB681B8E2CD}">
            <xm:f>NOT(ISERROR(SEARCH(Einstellungen!$A$4,G26)))</xm:f>
            <xm:f>Einstellungen!$A$4</xm:f>
            <x14:dxf>
              <font>
                <color theme="1"/>
              </font>
              <fill>
                <patternFill>
                  <bgColor theme="0" tint="-0.24994659260841701"/>
                </patternFill>
              </fill>
            </x14:dxf>
          </x14:cfRule>
          <x14:cfRule type="containsText" priority="8295" operator="containsText" id="{C29688EF-F599-44D3-9BFD-E036F276AFEF}">
            <xm:f>NOT(ISERROR(SEARCH(Einstellungen!$A$3,G26)))</xm:f>
            <xm:f>Einstellungen!$A$3</xm:f>
            <x14:dxf>
              <font>
                <color theme="0"/>
              </font>
              <fill>
                <patternFill>
                  <bgColor rgb="FF002060"/>
                </patternFill>
              </fill>
            </x14:dxf>
          </x14:cfRule>
          <x14:cfRule type="containsText" priority="8296" operator="containsText" id="{31052BE8-FB67-45B8-AB99-E6769DD6AE6D}">
            <xm:f>NOT(ISERROR(SEARCH(Einstellungen!$A$2,G26)))</xm:f>
            <xm:f>Einstellungen!$A$2</xm:f>
            <x14:dxf>
              <font>
                <color theme="0"/>
              </font>
              <fill>
                <patternFill>
                  <bgColor rgb="FF0070C0"/>
                </patternFill>
              </fill>
            </x14:dxf>
          </x14:cfRule>
          <x14:cfRule type="containsText" priority="8297" operator="containsText" id="{2103C6AC-5E9D-4AC2-86E8-71E87EBC368A}">
            <xm:f>NOT(ISERROR(SEARCH(Einstellungen!$A$1,G26)))</xm:f>
            <xm:f>Einstellungen!$A$1</xm:f>
            <x14:dxf>
              <font>
                <color theme="0"/>
              </font>
              <fill>
                <patternFill>
                  <bgColor rgb="FF00B050"/>
                </patternFill>
              </fill>
            </x14:dxf>
          </x14:cfRule>
          <x14:cfRule type="expression" priority="8298" id="{1F9F77E7-6591-4A68-819C-D35EA59FE1D9}">
            <xm:f>IF(VLOOKUP(G$4,Einstellungen!$E$2:$E$15,1,FALSE)=G$4,TRUE,FALSE)</xm:f>
            <x14:dxf>
              <fill>
                <patternFill>
                  <bgColor rgb="FFFFE593"/>
                </patternFill>
              </fill>
            </x14:dxf>
          </x14:cfRule>
          <x14:cfRule type="expression" priority="8299" id="{2AA138F8-5780-49DA-8337-9B4261CD2833}">
            <xm:f>IF(VLOOKUP(G$7,Einstellungen!$E$2:$E$15,1,FALSE)=G$7,TRUE,FALSE)</xm:f>
            <x14:dxf>
              <fill>
                <patternFill>
                  <bgColor rgb="FFFFE593"/>
                </patternFill>
              </fill>
            </x14:dxf>
          </x14:cfRule>
          <x14:cfRule type="containsText" priority="8302" operator="containsText" id="{50349462-0302-4C7A-B5E9-96567E278C32}">
            <xm:f>NOT(ISERROR(SEARCH(Einstellungen!$A$5,G26)))</xm:f>
            <xm:f>Einstellungen!$A$5</xm:f>
            <x14:dxf>
              <font>
                <color theme="1"/>
              </font>
              <fill>
                <patternFill>
                  <bgColor theme="0" tint="-0.24994659260841701"/>
                </patternFill>
              </fill>
            </x14:dxf>
          </x14:cfRule>
          <x14:cfRule type="containsText" priority="8303" operator="containsText" id="{E4F539CB-70ED-4342-AC9F-97BE3A67E00D}">
            <xm:f>NOT(ISERROR(SEARCH(Einstellungen!$A$4,G26)))</xm:f>
            <xm:f>Einstellungen!$A$4</xm:f>
            <x14:dxf>
              <font>
                <color theme="1"/>
              </font>
              <fill>
                <patternFill>
                  <bgColor theme="0" tint="-0.24994659260841701"/>
                </patternFill>
              </fill>
            </x14:dxf>
          </x14:cfRule>
          <x14:cfRule type="containsText" priority="8304" operator="containsText" id="{5FEF2439-F801-48A2-9001-97992755F21C}">
            <xm:f>NOT(ISERROR(SEARCH(Einstellungen!$A$3,G26)))</xm:f>
            <xm:f>Einstellungen!$A$3</xm:f>
            <x14:dxf>
              <font>
                <color theme="0"/>
              </font>
              <fill>
                <patternFill>
                  <bgColor rgb="FF002060"/>
                </patternFill>
              </fill>
            </x14:dxf>
          </x14:cfRule>
          <x14:cfRule type="containsText" priority="8305" operator="containsText" id="{9275B85E-A3A6-4EC5-BA4E-67AC25131B29}">
            <xm:f>NOT(ISERROR(SEARCH(Einstellungen!$A$2,G26)))</xm:f>
            <xm:f>Einstellungen!$A$2</xm:f>
            <x14:dxf>
              <font>
                <color theme="0"/>
              </font>
              <fill>
                <patternFill>
                  <bgColor rgb="FF0070C0"/>
                </patternFill>
              </fill>
            </x14:dxf>
          </x14:cfRule>
          <x14:cfRule type="containsText" priority="8306" operator="containsText" id="{07933E04-B972-4681-AEDA-BE7F3F7E410D}">
            <xm:f>NOT(ISERROR(SEARCH(Einstellungen!$A$1,G26)))</xm:f>
            <xm:f>Einstellungen!$A$1</xm:f>
            <x14:dxf>
              <font>
                <color theme="0"/>
              </font>
              <fill>
                <patternFill>
                  <bgColor rgb="FF00B050"/>
                </patternFill>
              </fill>
            </x14:dxf>
          </x14:cfRule>
          <x14:cfRule type="expression" priority="8307" id="{2B5C96E7-88E5-4613-B3C9-210C65D38D59}">
            <xm:f>IF(VLOOKUP(G$4,Einstellungen!$E$2:$E$15,1,FALSE)=G$4,TRUE,FALSE)</xm:f>
            <x14:dxf>
              <fill>
                <patternFill>
                  <bgColor rgb="FFFFE593"/>
                </patternFill>
              </fill>
            </x14:dxf>
          </x14:cfRule>
          <x14:cfRule type="expression" priority="8308" id="{C3FAEB1C-FC78-4A3F-8AD5-EEEE9AC63EAE}">
            <xm:f>IF(VLOOKUP(G$7,Einstellungen!$E$2:$E$15,1,FALSE)=G$7,TRUE,FALSE)</xm:f>
            <x14:dxf>
              <fill>
                <patternFill>
                  <bgColor rgb="FFFFE593"/>
                </patternFill>
              </fill>
            </x14:dxf>
          </x14:cfRule>
          <x14:cfRule type="containsText" priority="8311" operator="containsText" id="{3A24AA37-AD5C-4098-AAA2-4C20BF0A3833}">
            <xm:f>NOT(ISERROR(SEARCH(Einstellungen!$A$7,G26)))</xm:f>
            <xm:f>Einstellungen!$A$7</xm:f>
            <x14:dxf>
              <font>
                <color theme="1"/>
              </font>
              <fill>
                <patternFill>
                  <bgColor theme="7" tint="0.79998168889431442"/>
                </patternFill>
              </fill>
            </x14:dxf>
          </x14:cfRule>
          <x14:cfRule type="containsText" priority="8312" operator="containsText" id="{DB1E069F-9E72-43E6-8843-2400E864D77F}">
            <xm:f>NOT(ISERROR(SEARCH(Einstellungen!$A$9,G26)))</xm:f>
            <xm:f>Einstellungen!$A$9</xm:f>
            <x14:dxf>
              <font>
                <color theme="0"/>
              </font>
              <fill>
                <patternFill>
                  <bgColor theme="2" tint="-0.749961851863155"/>
                </patternFill>
              </fill>
            </x14:dxf>
          </x14:cfRule>
          <x14:cfRule type="containsText" priority="8313" operator="containsText" id="{F1374C74-F77A-4B9F-94D0-F7014ACEBDBB}">
            <xm:f>NOT(ISERROR(SEARCH(Einstellungen!$A$8,G26)))</xm:f>
            <xm:f>Einstellungen!$A$8</xm:f>
            <x14:dxf>
              <font>
                <color theme="1"/>
              </font>
              <fill>
                <patternFill>
                  <bgColor theme="7" tint="0.79998168889431442"/>
                </patternFill>
              </fill>
            </x14:dxf>
          </x14:cfRule>
          <x14:cfRule type="containsText" priority="8314" operator="containsText" id="{DE45680B-05DB-4AE5-AD3B-D50CDDCA1B97}">
            <xm:f>NOT(ISERROR(SEARCH(Einstellungen!$A$17,G26)))</xm:f>
            <xm:f>Einstellungen!$A$17</xm:f>
            <x14:dxf>
              <font>
                <color theme="1"/>
              </font>
              <fill>
                <patternFill>
                  <bgColor theme="7" tint="-0.24994659260841701"/>
                </patternFill>
              </fill>
            </x14:dxf>
          </x14:cfRule>
          <x14:cfRule type="containsText" priority="8315" operator="containsText" id="{F91BF4F4-9AED-48B8-A0A7-4F635F021981}">
            <xm:f>NOT(ISERROR(SEARCH(Einstellungen!$A$16,G26)))</xm:f>
            <xm:f>Einstellungen!$A$16</xm:f>
            <x14:dxf>
              <font>
                <color theme="1"/>
              </font>
              <fill>
                <patternFill>
                  <bgColor theme="7" tint="0.39994506668294322"/>
                </patternFill>
              </fill>
            </x14:dxf>
          </x14:cfRule>
          <x14:cfRule type="containsText" priority="8316" operator="containsText" id="{4D7A7EDE-AC5D-463C-BD20-5A578C4833A7}">
            <xm:f>NOT(ISERROR(SEARCH(Einstellungen!$A$15,G26)))</xm:f>
            <xm:f>Einstellungen!$A$15</xm:f>
            <x14:dxf>
              <font>
                <color theme="1"/>
              </font>
              <fill>
                <patternFill>
                  <bgColor theme="4" tint="0.39994506668294322"/>
                </patternFill>
              </fill>
            </x14:dxf>
          </x14:cfRule>
          <x14:cfRule type="containsText" priority="8317" operator="containsText" id="{0BFD2F12-E6C4-4B65-9377-30EF349789E7}">
            <xm:f>NOT(ISERROR(SEARCH(Einstellungen!$A$14,G26)))</xm:f>
            <xm:f>Einstellungen!$A$14</xm:f>
            <x14:dxf>
              <font>
                <color theme="1"/>
              </font>
              <fill>
                <patternFill>
                  <bgColor theme="0" tint="-0.24994659260841701"/>
                </patternFill>
              </fill>
            </x14:dxf>
          </x14:cfRule>
          <x14:cfRule type="containsText" priority="8318" operator="containsText" id="{02056BA6-A542-496A-9071-D1DEE6EF5E4A}">
            <xm:f>NOT(ISERROR(SEARCH(Einstellungen!$A$12,G26)))</xm:f>
            <xm:f>Einstellungen!$A$12</xm:f>
            <x14:dxf>
              <font>
                <color theme="1"/>
              </font>
              <fill>
                <patternFill>
                  <bgColor theme="0" tint="-0.24994659260841701"/>
                </patternFill>
              </fill>
            </x14:dxf>
          </x14:cfRule>
          <x14:cfRule type="containsText" priority="8319" operator="containsText" id="{DE5450A0-6285-4896-B1E9-22A04AABFCEA}">
            <xm:f>NOT(ISERROR(SEARCH(Einstellungen!$A$13,G26)))</xm:f>
            <xm:f>Einstellungen!$A$13</xm:f>
            <x14:dxf>
              <font>
                <color theme="1"/>
              </font>
              <fill>
                <patternFill>
                  <bgColor theme="0" tint="-0.24994659260841701"/>
                </patternFill>
              </fill>
            </x14:dxf>
          </x14:cfRule>
          <x14:cfRule type="containsText" priority="8320" operator="containsText" id="{F9E8FD16-0EBC-4919-9BA3-BD969EB068C7}">
            <xm:f>NOT(ISERROR(SEARCH(Einstellungen!$A$11,G26)))</xm:f>
            <xm:f>Einstellungen!$A$11</xm:f>
            <x14:dxf>
              <font>
                <color theme="1"/>
              </font>
              <fill>
                <patternFill>
                  <bgColor theme="5" tint="0.39994506668294322"/>
                </patternFill>
              </fill>
            </x14:dxf>
          </x14:cfRule>
          <x14:cfRule type="containsText" priority="8321" operator="containsText" id="{98D70F62-C8D3-41D5-9F7E-7A3F8484C1A7}">
            <xm:f>NOT(ISERROR(SEARCH(Einstellungen!$A$5,G26)))</xm:f>
            <xm:f>Einstellungen!$A$5</xm:f>
            <x14:dxf>
              <font>
                <color theme="0"/>
              </font>
              <fill>
                <patternFill>
                  <bgColor theme="2" tint="-0.749961851863155"/>
                </patternFill>
              </fill>
            </x14:dxf>
          </x14:cfRule>
          <x14:cfRule type="containsText" priority="8322" operator="containsText" id="{71641AEB-B4C0-4000-B659-3177B2B55044}">
            <xm:f>NOT(ISERROR(SEARCH(Einstellungen!$A$4,G26)))</xm:f>
            <xm:f>Einstellungen!$A$4</xm:f>
            <x14:dxf>
              <font>
                <color theme="1"/>
              </font>
              <fill>
                <patternFill>
                  <bgColor theme="0" tint="-0.24994659260841701"/>
                </patternFill>
              </fill>
            </x14:dxf>
          </x14:cfRule>
          <x14:cfRule type="containsText" priority="8323" operator="containsText" id="{FC77CA69-3000-465D-B480-16B56A6026D3}">
            <xm:f>NOT(ISERROR(SEARCH(Einstellungen!$A$3,G26)))</xm:f>
            <xm:f>Einstellungen!$A$3</xm:f>
            <x14:dxf>
              <font>
                <color theme="0"/>
              </font>
              <fill>
                <patternFill>
                  <bgColor rgb="FF002060"/>
                </patternFill>
              </fill>
            </x14:dxf>
          </x14:cfRule>
          <x14:cfRule type="containsText" priority="8324" operator="containsText" id="{0664467D-9509-4156-8807-6AEEFBFB5559}">
            <xm:f>NOT(ISERROR(SEARCH(Einstellungen!$A$2,G26)))</xm:f>
            <xm:f>Einstellungen!$A$2</xm:f>
            <x14:dxf>
              <font>
                <color theme="0"/>
              </font>
              <fill>
                <patternFill>
                  <bgColor rgb="FF0070C0"/>
                </patternFill>
              </fill>
            </x14:dxf>
          </x14:cfRule>
          <x14:cfRule type="containsText" priority="8325" operator="containsText" id="{82106ACC-CC00-427B-B993-6EEEA1F33565}">
            <xm:f>NOT(ISERROR(SEARCH(Einstellungen!$A$1,G26)))</xm:f>
            <xm:f>Einstellungen!$A$1</xm:f>
            <x14:dxf>
              <font>
                <color theme="0"/>
              </font>
              <fill>
                <patternFill>
                  <bgColor rgb="FF00B050"/>
                </patternFill>
              </fill>
            </x14:dxf>
          </x14:cfRule>
          <x14:cfRule type="expression" priority="8326" id="{3FBC7AD9-66A9-4F89-9DCA-700BA203C8A9}">
            <xm:f>IF(VLOOKUP(G$4,Einstellungen!$E$2:$E$15,1,FALSE)=G$4,TRUE,FALSE)</xm:f>
            <x14:dxf>
              <fill>
                <patternFill>
                  <bgColor rgb="FFFFE593"/>
                </patternFill>
              </fill>
            </x14:dxf>
          </x14:cfRule>
          <x14:cfRule type="expression" priority="8327" id="{D9ABFC5D-54F0-4821-AF53-2B9063AB1F18}">
            <xm:f>IF(VLOOKUP(G$7,Einstellungen!$E$2:$E$15,1,FALSE)=G$7,TRUE,FALSE)</xm:f>
            <x14:dxf>
              <fill>
                <patternFill>
                  <bgColor rgb="FFFFE593"/>
                </patternFill>
              </fill>
            </x14:dxf>
          </x14:cfRule>
          <x14:cfRule type="containsText" priority="8330" operator="containsText" id="{DF6B01E5-5358-42B2-91B1-6F22DF5BAA78}">
            <xm:f>NOT(ISERROR(SEARCH(Einstellungen!$A$5,G26)))</xm:f>
            <xm:f>Einstellungen!$A$5</xm:f>
            <x14:dxf>
              <font>
                <color theme="1"/>
              </font>
              <fill>
                <patternFill>
                  <bgColor theme="0" tint="-0.24994659260841701"/>
                </patternFill>
              </fill>
            </x14:dxf>
          </x14:cfRule>
          <x14:cfRule type="containsText" priority="8331" operator="containsText" id="{0AF37C35-0EA7-4F4C-8D0B-B779F3A69DC3}">
            <xm:f>NOT(ISERROR(SEARCH(Einstellungen!$A$3,G26)))</xm:f>
            <xm:f>Einstellungen!$A$3</xm:f>
            <x14:dxf>
              <font>
                <color theme="0"/>
              </font>
              <fill>
                <patternFill>
                  <bgColor rgb="FF002060"/>
                </patternFill>
              </fill>
            </x14:dxf>
          </x14:cfRule>
          <x14:cfRule type="containsText" priority="8332" operator="containsText" id="{BEE07987-95A1-47E1-8E9C-52011C15942A}">
            <xm:f>NOT(ISERROR(SEARCH(Einstellungen!$A$2,G26)))</xm:f>
            <xm:f>Einstellungen!$A$2</xm:f>
            <x14:dxf>
              <font>
                <color theme="0"/>
              </font>
              <fill>
                <patternFill>
                  <bgColor rgb="FF0070C0"/>
                </patternFill>
              </fill>
            </x14:dxf>
          </x14:cfRule>
          <x14:cfRule type="containsText" priority="8333" operator="containsText" id="{206AA0D6-A74C-4F7B-A5D4-FAF0A5351465}">
            <xm:f>NOT(ISERROR(SEARCH(Einstellungen!$A$1,G26)))</xm:f>
            <xm:f>Einstellungen!$A$1</xm:f>
            <x14:dxf>
              <font>
                <color theme="0"/>
              </font>
              <fill>
                <patternFill>
                  <bgColor rgb="FF00B050"/>
                </patternFill>
              </fill>
            </x14:dxf>
          </x14:cfRule>
          <x14:cfRule type="expression" priority="8334" id="{2ABAC213-04A0-408B-A8BD-7ECE8E33C950}">
            <xm:f>IF(VLOOKUP(G$4,Einstellungen!$E$2:$E$15,1,FALSE)=G$4,TRUE,FALSE)</xm:f>
            <x14:dxf>
              <fill>
                <patternFill>
                  <bgColor rgb="FFFFE593"/>
                </patternFill>
              </fill>
            </x14:dxf>
          </x14:cfRule>
          <x14:cfRule type="expression" priority="8335" id="{A5307D77-97C4-424B-B52F-5F439E814490}">
            <xm:f>IF(VLOOKUP(G$7,Einstellungen!$E$2:$E$15,1,FALSE)=G$7,TRUE,FALSE)</xm:f>
            <x14:dxf>
              <fill>
                <patternFill>
                  <bgColor rgb="FFFFE593"/>
                </patternFill>
              </fill>
            </x14:dxf>
          </x14:cfRule>
          <x14:cfRule type="containsText" priority="8338" operator="containsText" id="{3DC330B2-51DC-470C-A7E1-BCA7C218D0BE}">
            <xm:f>NOT(ISERROR(SEARCH(Einstellungen!$A$7,G26)))</xm:f>
            <xm:f>Einstellungen!$A$7</xm:f>
            <x14:dxf>
              <font>
                <color theme="1"/>
              </font>
              <fill>
                <patternFill>
                  <bgColor theme="7" tint="0.79998168889431442"/>
                </patternFill>
              </fill>
            </x14:dxf>
          </x14:cfRule>
          <x14:cfRule type="containsText" priority="8339" operator="containsText" id="{ACCC68B0-5505-4311-8889-1C9EEDB9487C}">
            <xm:f>NOT(ISERROR(SEARCH(Einstellungen!$A$9,G26)))</xm:f>
            <xm:f>Einstellungen!$A$9</xm:f>
            <x14:dxf>
              <font>
                <color theme="0"/>
              </font>
              <fill>
                <patternFill>
                  <bgColor theme="2" tint="-0.749961851863155"/>
                </patternFill>
              </fill>
            </x14:dxf>
          </x14:cfRule>
          <x14:cfRule type="containsText" priority="8340" operator="containsText" id="{80D674F8-E75C-4611-BAE3-A7333397900F}">
            <xm:f>NOT(ISERROR(SEARCH(Einstellungen!$A$8,G26)))</xm:f>
            <xm:f>Einstellungen!$A$8</xm:f>
            <x14:dxf>
              <font>
                <color theme="1"/>
              </font>
              <fill>
                <patternFill>
                  <bgColor theme="7" tint="0.79998168889431442"/>
                </patternFill>
              </fill>
            </x14:dxf>
          </x14:cfRule>
          <x14:cfRule type="containsText" priority="8341" operator="containsText" id="{3655FB3D-D61E-4E7D-80D3-7CA8B4A63BFC}">
            <xm:f>NOT(ISERROR(SEARCH(Einstellungen!$A$17,G26)))</xm:f>
            <xm:f>Einstellungen!$A$17</xm:f>
            <x14:dxf>
              <font>
                <color theme="1"/>
              </font>
              <fill>
                <patternFill>
                  <bgColor theme="7" tint="-0.24994659260841701"/>
                </patternFill>
              </fill>
            </x14:dxf>
          </x14:cfRule>
          <x14:cfRule type="containsText" priority="8342" operator="containsText" id="{F8EEE06E-55DD-4909-BDA8-48F1D03B114D}">
            <xm:f>NOT(ISERROR(SEARCH(Einstellungen!$A$16,G26)))</xm:f>
            <xm:f>Einstellungen!$A$16</xm:f>
            <x14:dxf>
              <font>
                <color theme="1"/>
              </font>
              <fill>
                <patternFill>
                  <bgColor theme="7" tint="0.39994506668294322"/>
                </patternFill>
              </fill>
            </x14:dxf>
          </x14:cfRule>
          <x14:cfRule type="containsText" priority="8343" operator="containsText" id="{4A071FD3-F5E7-400F-BBCA-565E2859A5F9}">
            <xm:f>NOT(ISERROR(SEARCH(Einstellungen!$A$15,G26)))</xm:f>
            <xm:f>Einstellungen!$A$15</xm:f>
            <x14:dxf>
              <font>
                <color theme="1"/>
              </font>
              <fill>
                <patternFill>
                  <bgColor theme="4" tint="0.39994506668294322"/>
                </patternFill>
              </fill>
            </x14:dxf>
          </x14:cfRule>
          <x14:cfRule type="containsText" priority="8344" operator="containsText" id="{672CB9DD-53F9-4ED0-B100-6DECCCCD8177}">
            <xm:f>NOT(ISERROR(SEARCH(Einstellungen!$A$14,G26)))</xm:f>
            <xm:f>Einstellungen!$A$14</xm:f>
            <x14:dxf>
              <font>
                <color theme="1"/>
              </font>
              <fill>
                <patternFill>
                  <bgColor theme="0" tint="-0.24994659260841701"/>
                </patternFill>
              </fill>
            </x14:dxf>
          </x14:cfRule>
          <x14:cfRule type="containsText" priority="8345" operator="containsText" id="{CD904C41-4A84-40FD-9366-C24CB502BB1D}">
            <xm:f>NOT(ISERROR(SEARCH(Einstellungen!$A$12,G26)))</xm:f>
            <xm:f>Einstellungen!$A$12</xm:f>
            <x14:dxf>
              <font>
                <color theme="1"/>
              </font>
              <fill>
                <patternFill>
                  <bgColor theme="0" tint="-0.24994659260841701"/>
                </patternFill>
              </fill>
            </x14:dxf>
          </x14:cfRule>
          <x14:cfRule type="containsText" priority="8346" operator="containsText" id="{14F14481-78BE-4D97-90AE-C52B6A57CB2D}">
            <xm:f>NOT(ISERROR(SEARCH(Einstellungen!$A$13,G26)))</xm:f>
            <xm:f>Einstellungen!$A$13</xm:f>
            <x14:dxf>
              <font>
                <color theme="1"/>
              </font>
              <fill>
                <patternFill>
                  <bgColor theme="0" tint="-0.24994659260841701"/>
                </patternFill>
              </fill>
            </x14:dxf>
          </x14:cfRule>
          <x14:cfRule type="containsText" priority="8347" operator="containsText" id="{29FE43A2-845C-42EC-9599-BD9E42D3597F}">
            <xm:f>NOT(ISERROR(SEARCH(Einstellungen!$A$11,G26)))</xm:f>
            <xm:f>Einstellungen!$A$11</xm:f>
            <x14:dxf>
              <font>
                <color theme="1"/>
              </font>
              <fill>
                <patternFill>
                  <bgColor theme="5" tint="0.39994506668294322"/>
                </patternFill>
              </fill>
            </x14:dxf>
          </x14:cfRule>
          <x14:cfRule type="containsText" priority="8348" operator="containsText" id="{47ED6A52-6907-45A7-8B85-3036C7E3D1EE}">
            <xm:f>NOT(ISERROR(SEARCH(Einstellungen!$A$5,G26)))</xm:f>
            <xm:f>Einstellungen!$A$5</xm:f>
            <x14:dxf>
              <font>
                <color theme="0"/>
              </font>
              <fill>
                <patternFill>
                  <bgColor theme="2" tint="-0.749961851863155"/>
                </patternFill>
              </fill>
            </x14:dxf>
          </x14:cfRule>
          <x14:cfRule type="containsText" priority="8349" operator="containsText" id="{33FE847D-FF23-46DB-ADBD-9667DCE0C1A6}">
            <xm:f>NOT(ISERROR(SEARCH(Einstellungen!$A$4,G26)))</xm:f>
            <xm:f>Einstellungen!$A$4</xm:f>
            <x14:dxf>
              <font>
                <color theme="1"/>
              </font>
              <fill>
                <patternFill>
                  <bgColor theme="0" tint="-0.24994659260841701"/>
                </patternFill>
              </fill>
            </x14:dxf>
          </x14:cfRule>
          <x14:cfRule type="containsText" priority="8350" operator="containsText" id="{53DEF211-9537-4EA0-B152-C4A379530457}">
            <xm:f>NOT(ISERROR(SEARCH(Einstellungen!$A$3,G26)))</xm:f>
            <xm:f>Einstellungen!$A$3</xm:f>
            <x14:dxf>
              <font>
                <color theme="0"/>
              </font>
              <fill>
                <patternFill>
                  <bgColor rgb="FF002060"/>
                </patternFill>
              </fill>
            </x14:dxf>
          </x14:cfRule>
          <x14:cfRule type="containsText" priority="8351" operator="containsText" id="{55B0B058-C611-4315-B20F-BCD3BB9B2BF9}">
            <xm:f>NOT(ISERROR(SEARCH(Einstellungen!$A$2,G26)))</xm:f>
            <xm:f>Einstellungen!$A$2</xm:f>
            <x14:dxf>
              <font>
                <color theme="0"/>
              </font>
              <fill>
                <patternFill>
                  <bgColor rgb="FF0070C0"/>
                </patternFill>
              </fill>
            </x14:dxf>
          </x14:cfRule>
          <x14:cfRule type="containsText" priority="8352" operator="containsText" id="{6B7CE241-0C74-4C63-8B94-795F9DA7BF52}">
            <xm:f>NOT(ISERROR(SEARCH(Einstellungen!$A$1,G26)))</xm:f>
            <xm:f>Einstellungen!$A$1</xm:f>
            <x14:dxf>
              <font>
                <color theme="0"/>
              </font>
              <fill>
                <patternFill>
                  <bgColor rgb="FF00B050"/>
                </patternFill>
              </fill>
            </x14:dxf>
          </x14:cfRule>
          <x14:cfRule type="expression" priority="8353" id="{9C12AF8B-1109-48D9-A825-AD30182D0BA4}">
            <xm:f>IF(VLOOKUP(G$4,Einstellungen!$E$2:$E$15,1,FALSE)=G$4,TRUE,FALSE)</xm:f>
            <x14:dxf>
              <fill>
                <patternFill>
                  <bgColor rgb="FFFFE593"/>
                </patternFill>
              </fill>
            </x14:dxf>
          </x14:cfRule>
          <x14:cfRule type="expression" priority="8354" id="{E3C0F739-DC47-42AC-85E5-20DF2DF28240}">
            <xm:f>IF(VLOOKUP(G$7,Einstellungen!$E$2:$E$15,1,FALSE)=G$7,TRUE,FALSE)</xm:f>
            <x14:dxf>
              <fill>
                <patternFill>
                  <bgColor rgb="FFFFE593"/>
                </patternFill>
              </fill>
            </x14:dxf>
          </x14:cfRule>
          <x14:cfRule type="containsText" priority="8357" operator="containsText" id="{33419125-2099-4DDC-B6F0-7B6FE11E2AF6}">
            <xm:f>NOT(ISERROR(SEARCH(Einstellungen!$A$5,G26)))</xm:f>
            <xm:f>Einstellungen!$A$5</xm:f>
            <x14:dxf>
              <font>
                <color theme="1"/>
              </font>
              <fill>
                <patternFill>
                  <bgColor theme="0" tint="-0.24994659260841701"/>
                </patternFill>
              </fill>
            </x14:dxf>
          </x14:cfRule>
          <x14:cfRule type="containsText" priority="8358" operator="containsText" id="{16E213BA-CEF9-4AF4-80C7-2B3B13D3B39D}">
            <xm:f>NOT(ISERROR(SEARCH(Einstellungen!$A$4,G26)))</xm:f>
            <xm:f>Einstellungen!$A$4</xm:f>
            <x14:dxf>
              <font>
                <color theme="1"/>
              </font>
              <fill>
                <patternFill>
                  <bgColor theme="0" tint="-0.24994659260841701"/>
                </patternFill>
              </fill>
            </x14:dxf>
          </x14:cfRule>
          <x14:cfRule type="containsText" priority="8359" operator="containsText" id="{DC84F068-480B-430D-A552-D064FFD6F34C}">
            <xm:f>NOT(ISERROR(SEARCH(Einstellungen!$A$3,G26)))</xm:f>
            <xm:f>Einstellungen!$A$3</xm:f>
            <x14:dxf>
              <font>
                <color theme="0"/>
              </font>
              <fill>
                <patternFill>
                  <bgColor rgb="FF002060"/>
                </patternFill>
              </fill>
            </x14:dxf>
          </x14:cfRule>
          <x14:cfRule type="containsText" priority="8360" operator="containsText" id="{2B4E041C-1404-48D4-96C7-83B73F0B0ADA}">
            <xm:f>NOT(ISERROR(SEARCH(Einstellungen!$A$2,G26)))</xm:f>
            <xm:f>Einstellungen!$A$2</xm:f>
            <x14:dxf>
              <font>
                <color theme="0"/>
              </font>
              <fill>
                <patternFill>
                  <bgColor rgb="FF0070C0"/>
                </patternFill>
              </fill>
            </x14:dxf>
          </x14:cfRule>
          <x14:cfRule type="containsText" priority="8361" operator="containsText" id="{6B6E80AE-047C-4052-9F09-1B7D66C94014}">
            <xm:f>NOT(ISERROR(SEARCH(Einstellungen!$A$1,G26)))</xm:f>
            <xm:f>Einstellungen!$A$1</xm:f>
            <x14:dxf>
              <font>
                <color theme="0"/>
              </font>
              <fill>
                <patternFill>
                  <bgColor rgb="FF00B050"/>
                </patternFill>
              </fill>
            </x14:dxf>
          </x14:cfRule>
          <x14:cfRule type="expression" priority="8362" id="{3E9A1BE7-8AE5-4143-BA31-D48517E3414B}">
            <xm:f>IF(VLOOKUP(G$4,Einstellungen!$E$2:$E$15,1,FALSE)=G$4,TRUE,FALSE)</xm:f>
            <x14:dxf>
              <fill>
                <patternFill>
                  <bgColor rgb="FFFFE593"/>
                </patternFill>
              </fill>
            </x14:dxf>
          </x14:cfRule>
          <x14:cfRule type="expression" priority="8363" id="{B4D1EB1F-3905-425C-8627-6BEE1E7048FF}">
            <xm:f>IF(VLOOKUP(G$7,Einstellungen!$E$2:$E$15,1,FALSE)=G$7,TRUE,FALSE)</xm:f>
            <x14:dxf>
              <fill>
                <patternFill>
                  <bgColor rgb="FFFFE593"/>
                </patternFill>
              </fill>
            </x14:dxf>
          </x14:cfRule>
          <x14:cfRule type="beginsWith" priority="8366" operator="beginsWith" id="{FF279AB5-85EB-45E0-ACA1-02CEEAE5D4DE}">
            <xm:f>LEFT(G26,LEN(Einstellungen!$A$19))=Einstellungen!$A$19</xm:f>
            <xm:f>Einstellungen!$A$19</xm:f>
            <x14:dxf>
              <font>
                <color theme="1"/>
              </font>
              <fill>
                <patternFill>
                  <bgColor theme="0" tint="-0.24994659260841701"/>
                </patternFill>
              </fill>
            </x14:dxf>
          </x14:cfRule>
          <x14:cfRule type="containsText" priority="8367" operator="containsText" id="{626A08F5-ECF1-4BE2-8E84-6862D78BAB12}">
            <xm:f>NOT(ISERROR(SEARCH(Einstellungen!$A$18,G26)))</xm:f>
            <xm:f>Einstellungen!$A$18</xm:f>
            <x14:dxf>
              <font>
                <color rgb="FFFFFF00"/>
              </font>
              <fill>
                <patternFill>
                  <bgColor theme="8" tint="-0.499984740745262"/>
                </patternFill>
              </fill>
            </x14:dxf>
          </x14:cfRule>
          <x14:cfRule type="containsText" priority="8368" operator="containsText" id="{32051E22-A38E-4F0A-91D8-34FE40E44738}">
            <xm:f>NOT(ISERROR(SEARCH(Einstellungen!$A$20,G26)))</xm:f>
            <xm:f>Einstellungen!$A$20</xm:f>
            <x14:dxf>
              <font>
                <color theme="1"/>
              </font>
              <fill>
                <patternFill>
                  <bgColor theme="0" tint="-0.24994659260841701"/>
                </patternFill>
              </fill>
            </x14:dxf>
          </x14:cfRule>
          <x14:cfRule type="containsText" priority="8369" operator="containsText" id="{A57FA726-2907-4F95-8E66-F20D3C61F34F}">
            <xm:f>NOT(ISERROR(SEARCH(Einstellungen!$A$7,G26)))</xm:f>
            <xm:f>Einstellungen!$A$7</xm:f>
            <x14:dxf>
              <font>
                <color theme="1"/>
              </font>
              <fill>
                <patternFill>
                  <bgColor theme="7" tint="0.79998168889431442"/>
                </patternFill>
              </fill>
            </x14:dxf>
          </x14:cfRule>
          <x14:cfRule type="containsText" priority="8370" operator="containsText" id="{BDF1035F-DCC4-43ED-A074-1FD132EBDE1C}">
            <xm:f>NOT(ISERROR(SEARCH(Einstellungen!$A$9,G26)))</xm:f>
            <xm:f>Einstellungen!$A$9</xm:f>
            <x14:dxf>
              <font>
                <color theme="0"/>
              </font>
              <fill>
                <patternFill>
                  <bgColor theme="2" tint="-0.749961851863155"/>
                </patternFill>
              </fill>
            </x14:dxf>
          </x14:cfRule>
          <x14:cfRule type="containsText" priority="8371" operator="containsText" id="{9A75392A-47C7-42E7-85B9-F892B2E0C4A8}">
            <xm:f>NOT(ISERROR(SEARCH(Einstellungen!$A$8,G26)))</xm:f>
            <xm:f>Einstellungen!$A$8</xm:f>
            <x14:dxf>
              <font>
                <color theme="1"/>
              </font>
              <fill>
                <patternFill>
                  <bgColor theme="7" tint="0.79998168889431442"/>
                </patternFill>
              </fill>
            </x14:dxf>
          </x14:cfRule>
          <x14:cfRule type="containsText" priority="8372" operator="containsText" id="{2F5A9FBC-8A1A-49DF-84A4-DFEAB846E59E}">
            <xm:f>NOT(ISERROR(SEARCH(Einstellungen!$A$17,G26)))</xm:f>
            <xm:f>Einstellungen!$A$17</xm:f>
            <x14:dxf>
              <font>
                <color theme="1"/>
              </font>
              <fill>
                <patternFill>
                  <bgColor theme="7" tint="-0.24994659260841701"/>
                </patternFill>
              </fill>
            </x14:dxf>
          </x14:cfRule>
          <x14:cfRule type="containsText" priority="8373" operator="containsText" id="{10A794A1-A11A-4E60-B2C9-D480F72027CF}">
            <xm:f>NOT(ISERROR(SEARCH(Einstellungen!$A$16,G26)))</xm:f>
            <xm:f>Einstellungen!$A$16</xm:f>
            <x14:dxf>
              <font>
                <color theme="1"/>
              </font>
              <fill>
                <patternFill>
                  <bgColor theme="7" tint="0.39994506668294322"/>
                </patternFill>
              </fill>
            </x14:dxf>
          </x14:cfRule>
          <x14:cfRule type="containsText" priority="8374" operator="containsText" id="{D6A88010-2D17-46E9-BBF1-2886B6BA856D}">
            <xm:f>NOT(ISERROR(SEARCH(Einstellungen!$A$15,G26)))</xm:f>
            <xm:f>Einstellungen!$A$15</xm:f>
            <x14:dxf>
              <font>
                <color theme="1"/>
              </font>
              <fill>
                <patternFill>
                  <bgColor theme="4" tint="0.39994506668294322"/>
                </patternFill>
              </fill>
            </x14:dxf>
          </x14:cfRule>
          <x14:cfRule type="containsText" priority="8375" operator="containsText" id="{63B32A62-8F2F-48D0-A7EA-9A5D4DC152BA}">
            <xm:f>NOT(ISERROR(SEARCH(Einstellungen!$A$14,G26)))</xm:f>
            <xm:f>Einstellungen!$A$14</xm:f>
            <x14:dxf>
              <font>
                <color theme="1"/>
              </font>
              <fill>
                <patternFill>
                  <bgColor theme="0" tint="-0.24994659260841701"/>
                </patternFill>
              </fill>
            </x14:dxf>
          </x14:cfRule>
          <x14:cfRule type="containsText" priority="8376" operator="containsText" id="{FF31B273-2E32-48B2-95D5-2669F2920666}">
            <xm:f>NOT(ISERROR(SEARCH(Einstellungen!$A$12,G26)))</xm:f>
            <xm:f>Einstellungen!$A$12</xm:f>
            <x14:dxf>
              <font>
                <color theme="1"/>
              </font>
              <fill>
                <patternFill>
                  <bgColor theme="0" tint="-0.24994659260841701"/>
                </patternFill>
              </fill>
            </x14:dxf>
          </x14:cfRule>
          <x14:cfRule type="containsText" priority="8377" operator="containsText" id="{6A133D1A-3FEF-402F-9CB9-2B92C2B19E8D}">
            <xm:f>NOT(ISERROR(SEARCH(Einstellungen!$A$13,G26)))</xm:f>
            <xm:f>Einstellungen!$A$13</xm:f>
            <x14:dxf>
              <font>
                <color theme="1"/>
              </font>
              <fill>
                <patternFill>
                  <bgColor theme="0" tint="-0.24994659260841701"/>
                </patternFill>
              </fill>
            </x14:dxf>
          </x14:cfRule>
          <x14:cfRule type="containsText" priority="8378" operator="containsText" id="{B11C52BB-E75E-4ED9-BC8B-02D611D28B9C}">
            <xm:f>NOT(ISERROR(SEARCH(Einstellungen!$A$11,G26)))</xm:f>
            <xm:f>Einstellungen!$A$11</xm:f>
            <x14:dxf>
              <font>
                <color theme="1"/>
              </font>
              <fill>
                <patternFill>
                  <bgColor theme="5" tint="0.39994506668294322"/>
                </patternFill>
              </fill>
            </x14:dxf>
          </x14:cfRule>
          <x14:cfRule type="containsText" priority="8379" operator="containsText" id="{AF5D2213-81D5-441B-BE42-75F5AA9841D2}">
            <xm:f>NOT(ISERROR(SEARCH(Einstellungen!$A$5,G26)))</xm:f>
            <xm:f>Einstellungen!$A$5</xm:f>
            <x14:dxf>
              <font>
                <color theme="0"/>
              </font>
              <fill>
                <patternFill>
                  <bgColor theme="2" tint="-0.749961851863155"/>
                </patternFill>
              </fill>
            </x14:dxf>
          </x14:cfRule>
          <x14:cfRule type="containsText" priority="8380" operator="containsText" id="{B4815F12-20F2-460E-8C6B-24C8479C8114}">
            <xm:f>NOT(ISERROR(SEARCH(Einstellungen!$A$4,G26)))</xm:f>
            <xm:f>Einstellungen!$A$4</xm:f>
            <x14:dxf>
              <font>
                <color theme="1"/>
              </font>
              <fill>
                <patternFill>
                  <bgColor theme="0" tint="-0.24994659260841701"/>
                </patternFill>
              </fill>
            </x14:dxf>
          </x14:cfRule>
          <x14:cfRule type="containsText" priority="8381" operator="containsText" id="{E93BC3DF-75B6-49C1-A55D-6C6E0859DD1E}">
            <xm:f>NOT(ISERROR(SEARCH(Einstellungen!$A$3,G26)))</xm:f>
            <xm:f>Einstellungen!$A$3</xm:f>
            <x14:dxf>
              <font>
                <color theme="0"/>
              </font>
              <fill>
                <patternFill>
                  <bgColor rgb="FF002060"/>
                </patternFill>
              </fill>
            </x14:dxf>
          </x14:cfRule>
          <x14:cfRule type="containsText" priority="8382" operator="containsText" id="{67D783EB-591E-4590-AB67-131E936E6732}">
            <xm:f>NOT(ISERROR(SEARCH(Einstellungen!$A$2,G26)))</xm:f>
            <xm:f>Einstellungen!$A$2</xm:f>
            <x14:dxf>
              <font>
                <color theme="0"/>
              </font>
              <fill>
                <patternFill>
                  <bgColor rgb="FF0070C0"/>
                </patternFill>
              </fill>
            </x14:dxf>
          </x14:cfRule>
          <x14:cfRule type="containsText" priority="8383" operator="containsText" id="{DE09817F-B278-426C-816E-42CCC1AF2CA1}">
            <xm:f>NOT(ISERROR(SEARCH(Einstellungen!$A$1,G26)))</xm:f>
            <xm:f>Einstellungen!$A$1</xm:f>
            <x14:dxf>
              <font>
                <color theme="0"/>
              </font>
              <fill>
                <patternFill>
                  <bgColor rgb="FF00B050"/>
                </patternFill>
              </fill>
            </x14:dxf>
          </x14:cfRule>
          <x14:cfRule type="expression" priority="8384" id="{C76D4689-984C-43EE-A929-F7FAEA20B473}">
            <xm:f>IF(VLOOKUP(G$4,Einstellungen!$E$2:$E$15,1,FALSE)=G$4,TRUE,FALSE)</xm:f>
            <x14:dxf>
              <fill>
                <patternFill>
                  <bgColor rgb="FFFFE593"/>
                </patternFill>
              </fill>
            </x14:dxf>
          </x14:cfRule>
          <x14:cfRule type="expression" priority="8385" id="{0CC2209A-4411-461A-9C48-4A50F5FD8544}">
            <xm:f>IF(VLOOKUP(G$7,Einstellungen!$E$2:$E$15,1,FALSE)=G$7,TRUE,FALSE)</xm:f>
            <x14:dxf>
              <fill>
                <patternFill>
                  <bgColor rgb="FFFFE593"/>
                </patternFill>
              </fill>
            </x14:dxf>
          </x14:cfRule>
          <x14:cfRule type="containsText" priority="8388" operator="containsText" id="{456C164B-4B5A-45A6-AA66-980151CF9C4E}">
            <xm:f>NOT(ISERROR(SEARCH(Einstellungen!$A$5,G26)))</xm:f>
            <xm:f>Einstellungen!$A$5</xm:f>
            <x14:dxf>
              <font>
                <color theme="1"/>
              </font>
              <fill>
                <patternFill>
                  <bgColor theme="0" tint="-0.24994659260841701"/>
                </patternFill>
              </fill>
            </x14:dxf>
          </x14:cfRule>
          <x14:cfRule type="containsText" priority="8389" operator="containsText" id="{FBA8B128-B2EA-40A2-9E46-298CE7F2D9E5}">
            <xm:f>NOT(ISERROR(SEARCH(Einstellungen!$A$4,G26)))</xm:f>
            <xm:f>Einstellungen!$A$4</xm:f>
            <x14:dxf>
              <font>
                <color theme="1"/>
              </font>
              <fill>
                <patternFill>
                  <bgColor theme="0" tint="-0.24994659260841701"/>
                </patternFill>
              </fill>
            </x14:dxf>
          </x14:cfRule>
          <x14:cfRule type="containsText" priority="8390" operator="containsText" id="{FDCE5B20-8958-4189-B7E7-8AEC3FF7EFFF}">
            <xm:f>NOT(ISERROR(SEARCH(Einstellungen!$A$3,G26)))</xm:f>
            <xm:f>Einstellungen!$A$3</xm:f>
            <x14:dxf>
              <font>
                <color theme="0"/>
              </font>
              <fill>
                <patternFill>
                  <bgColor rgb="FF002060"/>
                </patternFill>
              </fill>
            </x14:dxf>
          </x14:cfRule>
          <x14:cfRule type="containsText" priority="8391" operator="containsText" id="{A991FD20-8663-4DDA-B79B-00C0E0374D3B}">
            <xm:f>NOT(ISERROR(SEARCH(Einstellungen!$A$2,G26)))</xm:f>
            <xm:f>Einstellungen!$A$2</xm:f>
            <x14:dxf>
              <font>
                <color theme="0"/>
              </font>
              <fill>
                <patternFill>
                  <bgColor rgb="FF0070C0"/>
                </patternFill>
              </fill>
            </x14:dxf>
          </x14:cfRule>
          <x14:cfRule type="containsText" priority="8392" operator="containsText" id="{AECD8C00-4A68-4932-A50A-CBDDCDE72715}">
            <xm:f>NOT(ISERROR(SEARCH(Einstellungen!$A$1,G26)))</xm:f>
            <xm:f>Einstellungen!$A$1</xm:f>
            <x14:dxf>
              <font>
                <color theme="0"/>
              </font>
              <fill>
                <patternFill>
                  <bgColor rgb="FF00B050"/>
                </patternFill>
              </fill>
            </x14:dxf>
          </x14:cfRule>
          <x14:cfRule type="expression" priority="8393" id="{85C7261D-6371-43B7-ACB3-EE95183813E6}">
            <xm:f>IF(VLOOKUP(G$4,Einstellungen!$E$2:$E$15,1,FALSE)=G$4,TRUE,FALSE)</xm:f>
            <x14:dxf>
              <fill>
                <patternFill>
                  <bgColor rgb="FFFFE593"/>
                </patternFill>
              </fill>
            </x14:dxf>
          </x14:cfRule>
          <x14:cfRule type="expression" priority="8394" id="{AFE1635B-813D-43CE-AFC8-223F451C8CB3}">
            <xm:f>IF(VLOOKUP(G$7,Einstellungen!$E$2:$E$15,1,FALSE)=G$7,TRUE,FALSE)</xm:f>
            <x14:dxf>
              <fill>
                <patternFill>
                  <bgColor rgb="FFFFE593"/>
                </patternFill>
              </fill>
            </x14:dxf>
          </x14:cfRule>
          <x14:cfRule type="containsText" priority="8397" operator="containsText" id="{47DE97F5-C561-40EF-B3C2-6279A60571CF}">
            <xm:f>NOT(ISERROR(SEARCH(Einstellungen!$A$7,G26)))</xm:f>
            <xm:f>Einstellungen!$A$7</xm:f>
            <x14:dxf>
              <font>
                <color theme="1"/>
              </font>
              <fill>
                <patternFill>
                  <bgColor theme="7" tint="0.79998168889431442"/>
                </patternFill>
              </fill>
            </x14:dxf>
          </x14:cfRule>
          <x14:cfRule type="containsText" priority="8398" operator="containsText" id="{1209EA54-9DA3-49FB-9048-46C19BAD11E8}">
            <xm:f>NOT(ISERROR(SEARCH(Einstellungen!$A$9,G26)))</xm:f>
            <xm:f>Einstellungen!$A$9</xm:f>
            <x14:dxf>
              <font>
                <color theme="0"/>
              </font>
              <fill>
                <patternFill>
                  <bgColor theme="2" tint="-0.749961851863155"/>
                </patternFill>
              </fill>
            </x14:dxf>
          </x14:cfRule>
          <x14:cfRule type="containsText" priority="8399" operator="containsText" id="{CF336F20-5FBE-43C2-ACAE-E9A187A3E2B8}">
            <xm:f>NOT(ISERROR(SEARCH(Einstellungen!$A$8,G26)))</xm:f>
            <xm:f>Einstellungen!$A$8</xm:f>
            <x14:dxf>
              <font>
                <color theme="1"/>
              </font>
              <fill>
                <patternFill>
                  <bgColor theme="7" tint="0.79998168889431442"/>
                </patternFill>
              </fill>
            </x14:dxf>
          </x14:cfRule>
          <x14:cfRule type="containsText" priority="8400" operator="containsText" id="{A8CD3EC0-C68C-4844-8DAC-F9F106C4E567}">
            <xm:f>NOT(ISERROR(SEARCH(Einstellungen!$A$17,G26)))</xm:f>
            <xm:f>Einstellungen!$A$17</xm:f>
            <x14:dxf>
              <font>
                <color theme="1"/>
              </font>
              <fill>
                <patternFill>
                  <bgColor theme="7" tint="-0.24994659260841701"/>
                </patternFill>
              </fill>
            </x14:dxf>
          </x14:cfRule>
          <x14:cfRule type="containsText" priority="8401" operator="containsText" id="{ABD82355-498F-4473-9411-FA0765CC3FDB}">
            <xm:f>NOT(ISERROR(SEARCH(Einstellungen!$A$16,G26)))</xm:f>
            <xm:f>Einstellungen!$A$16</xm:f>
            <x14:dxf>
              <font>
                <color theme="1"/>
              </font>
              <fill>
                <patternFill>
                  <bgColor theme="7" tint="0.39994506668294322"/>
                </patternFill>
              </fill>
            </x14:dxf>
          </x14:cfRule>
          <x14:cfRule type="containsText" priority="8402" operator="containsText" id="{83B7C21C-F17F-4CC7-9629-D1A2D7AC0E12}">
            <xm:f>NOT(ISERROR(SEARCH(Einstellungen!$A$15,G26)))</xm:f>
            <xm:f>Einstellungen!$A$15</xm:f>
            <x14:dxf>
              <font>
                <color theme="1"/>
              </font>
              <fill>
                <patternFill>
                  <bgColor theme="4" tint="0.39994506668294322"/>
                </patternFill>
              </fill>
            </x14:dxf>
          </x14:cfRule>
          <x14:cfRule type="containsText" priority="8403" operator="containsText" id="{4568EC8C-326A-4B01-B520-C5F89FF39992}">
            <xm:f>NOT(ISERROR(SEARCH(Einstellungen!$A$14,G26)))</xm:f>
            <xm:f>Einstellungen!$A$14</xm:f>
            <x14:dxf>
              <font>
                <color theme="1"/>
              </font>
              <fill>
                <patternFill>
                  <bgColor theme="0" tint="-0.24994659260841701"/>
                </patternFill>
              </fill>
            </x14:dxf>
          </x14:cfRule>
          <x14:cfRule type="containsText" priority="8404" operator="containsText" id="{FA5DB76E-1571-44C0-8B4B-3C90BC9F4E52}">
            <xm:f>NOT(ISERROR(SEARCH(Einstellungen!$A$12,G26)))</xm:f>
            <xm:f>Einstellungen!$A$12</xm:f>
            <x14:dxf>
              <font>
                <color theme="1"/>
              </font>
              <fill>
                <patternFill>
                  <bgColor theme="0" tint="-0.24994659260841701"/>
                </patternFill>
              </fill>
            </x14:dxf>
          </x14:cfRule>
          <x14:cfRule type="containsText" priority="8405" operator="containsText" id="{668B7A7C-0070-47FA-AA36-D1564002EA35}">
            <xm:f>NOT(ISERROR(SEARCH(Einstellungen!$A$13,G26)))</xm:f>
            <xm:f>Einstellungen!$A$13</xm:f>
            <x14:dxf>
              <font>
                <color theme="1"/>
              </font>
              <fill>
                <patternFill>
                  <bgColor theme="0" tint="-0.24994659260841701"/>
                </patternFill>
              </fill>
            </x14:dxf>
          </x14:cfRule>
          <x14:cfRule type="containsText" priority="8406" operator="containsText" id="{6A3E544D-87D5-4311-A681-A8BE8FB73087}">
            <xm:f>NOT(ISERROR(SEARCH(Einstellungen!$A$11,G26)))</xm:f>
            <xm:f>Einstellungen!$A$11</xm:f>
            <x14:dxf>
              <font>
                <color theme="1"/>
              </font>
              <fill>
                <patternFill>
                  <bgColor theme="5" tint="0.39994506668294322"/>
                </patternFill>
              </fill>
            </x14:dxf>
          </x14:cfRule>
          <x14:cfRule type="containsText" priority="8407" operator="containsText" id="{743DCE6E-38C2-46E3-9BEA-D8CCD21B5D8C}">
            <xm:f>NOT(ISERROR(SEARCH(Einstellungen!$A$5,G26)))</xm:f>
            <xm:f>Einstellungen!$A$5</xm:f>
            <x14:dxf>
              <font>
                <color theme="0"/>
              </font>
              <fill>
                <patternFill>
                  <bgColor theme="2" tint="-0.749961851863155"/>
                </patternFill>
              </fill>
            </x14:dxf>
          </x14:cfRule>
          <x14:cfRule type="containsText" priority="8408" operator="containsText" id="{898F6032-DC29-4318-A682-6E08F75FDA2D}">
            <xm:f>NOT(ISERROR(SEARCH(Einstellungen!$A$4,G26)))</xm:f>
            <xm:f>Einstellungen!$A$4</xm:f>
            <x14:dxf>
              <font>
                <color theme="1"/>
              </font>
              <fill>
                <patternFill>
                  <bgColor theme="0" tint="-0.24994659260841701"/>
                </patternFill>
              </fill>
            </x14:dxf>
          </x14:cfRule>
          <x14:cfRule type="containsText" priority="8409" operator="containsText" id="{AD4A6DC4-7B62-4478-BB18-2F9C708780EA}">
            <xm:f>NOT(ISERROR(SEARCH(Einstellungen!$A$3,G26)))</xm:f>
            <xm:f>Einstellungen!$A$3</xm:f>
            <x14:dxf>
              <font>
                <color theme="0"/>
              </font>
              <fill>
                <patternFill>
                  <bgColor rgb="FF002060"/>
                </patternFill>
              </fill>
            </x14:dxf>
          </x14:cfRule>
          <x14:cfRule type="containsText" priority="8410" operator="containsText" id="{38A59F3B-4FA3-4B6F-97AE-4BD9D1E025FE}">
            <xm:f>NOT(ISERROR(SEARCH(Einstellungen!$A$2,G26)))</xm:f>
            <xm:f>Einstellungen!$A$2</xm:f>
            <x14:dxf>
              <font>
                <color theme="0"/>
              </font>
              <fill>
                <patternFill>
                  <bgColor rgb="FF0070C0"/>
                </patternFill>
              </fill>
            </x14:dxf>
          </x14:cfRule>
          <x14:cfRule type="containsText" priority="8411" operator="containsText" id="{4E0E22B1-F33B-40B2-8C5F-F3A112F012BA}">
            <xm:f>NOT(ISERROR(SEARCH(Einstellungen!$A$1,G26)))</xm:f>
            <xm:f>Einstellungen!$A$1</xm:f>
            <x14:dxf>
              <font>
                <color theme="0"/>
              </font>
              <fill>
                <patternFill>
                  <bgColor rgb="FF00B050"/>
                </patternFill>
              </fill>
            </x14:dxf>
          </x14:cfRule>
          <x14:cfRule type="expression" priority="8412" id="{771036A0-A1B1-4A8D-B365-B8059BC79B68}">
            <xm:f>IF(VLOOKUP(G$4,Einstellungen!$E$2:$E$15,1,FALSE)=G$4,TRUE,FALSE)</xm:f>
            <x14:dxf>
              <fill>
                <patternFill>
                  <bgColor rgb="FFFFE593"/>
                </patternFill>
              </fill>
            </x14:dxf>
          </x14:cfRule>
          <x14:cfRule type="expression" priority="8413" id="{DD57887D-C71B-4478-B1BA-851E5939B16A}">
            <xm:f>IF(VLOOKUP(G$7,Einstellungen!$E$2:$E$15,1,FALSE)=G$7,TRUE,FALSE)</xm:f>
            <x14:dxf>
              <fill>
                <patternFill>
                  <bgColor rgb="FFFFE593"/>
                </patternFill>
              </fill>
            </x14:dxf>
          </x14:cfRule>
          <x14:cfRule type="containsText" priority="8416" operator="containsText" id="{06641E40-02AE-4EC0-B9F9-AC75D69D2A32}">
            <xm:f>NOT(ISERROR(SEARCH(Einstellungen!$A$5,G26)))</xm:f>
            <xm:f>Einstellungen!$A$5</xm:f>
            <x14:dxf>
              <font>
                <color theme="1"/>
              </font>
              <fill>
                <patternFill>
                  <bgColor theme="0" tint="-0.24994659260841701"/>
                </patternFill>
              </fill>
            </x14:dxf>
          </x14:cfRule>
          <x14:cfRule type="containsText" priority="8417" operator="containsText" id="{CA772419-C6AE-4F44-B90B-85BFD428D012}">
            <xm:f>NOT(ISERROR(SEARCH(Einstellungen!$A$4,G26)))</xm:f>
            <xm:f>Einstellungen!$A$4</xm:f>
            <x14:dxf>
              <font>
                <color theme="1"/>
              </font>
              <fill>
                <patternFill>
                  <bgColor theme="0" tint="-0.24994659260841701"/>
                </patternFill>
              </fill>
            </x14:dxf>
          </x14:cfRule>
          <x14:cfRule type="containsText" priority="8418" operator="containsText" id="{CBDCC45D-50A4-4E9D-B7B6-98028FF06F14}">
            <xm:f>NOT(ISERROR(SEARCH(Einstellungen!$A$3,G26)))</xm:f>
            <xm:f>Einstellungen!$A$3</xm:f>
            <x14:dxf>
              <font>
                <color theme="0"/>
              </font>
              <fill>
                <patternFill>
                  <bgColor rgb="FF002060"/>
                </patternFill>
              </fill>
            </x14:dxf>
          </x14:cfRule>
          <x14:cfRule type="containsText" priority="8419" operator="containsText" id="{CCE3C1DF-26C3-4D8F-9235-DC9F58128AD7}">
            <xm:f>NOT(ISERROR(SEARCH(Einstellungen!$A$2,G26)))</xm:f>
            <xm:f>Einstellungen!$A$2</xm:f>
            <x14:dxf>
              <font>
                <color theme="0"/>
              </font>
              <fill>
                <patternFill>
                  <bgColor rgb="FF0070C0"/>
                </patternFill>
              </fill>
            </x14:dxf>
          </x14:cfRule>
          <x14:cfRule type="containsText" priority="8420" operator="containsText" id="{B0687C10-5749-4DE9-84AA-A650D7D1E103}">
            <xm:f>NOT(ISERROR(SEARCH(Einstellungen!$A$1,G26)))</xm:f>
            <xm:f>Einstellungen!$A$1</xm:f>
            <x14:dxf>
              <font>
                <color theme="0"/>
              </font>
              <fill>
                <patternFill>
                  <bgColor rgb="FF00B050"/>
                </patternFill>
              </fill>
            </x14:dxf>
          </x14:cfRule>
          <x14:cfRule type="expression" priority="8421" id="{25E9D138-C0E8-4A9E-8D38-9B5B1F61DC6F}">
            <xm:f>IF(VLOOKUP(G$4,Einstellungen!$E$2:$E$15,1,FALSE)=G$4,TRUE,FALSE)</xm:f>
            <x14:dxf>
              <fill>
                <patternFill>
                  <bgColor rgb="FFFFE593"/>
                </patternFill>
              </fill>
            </x14:dxf>
          </x14:cfRule>
          <x14:cfRule type="expression" priority="8422" id="{71CEB006-9F76-4393-B083-450C06861BDE}">
            <xm:f>IF(VLOOKUP(G$7,Einstellungen!$E$2:$E$15,1,FALSE)=G$7,TRUE,FALSE)</xm:f>
            <x14:dxf>
              <fill>
                <patternFill>
                  <bgColor rgb="FFFFE593"/>
                </patternFill>
              </fill>
            </x14:dxf>
          </x14:cfRule>
          <x14:cfRule type="containsText" priority="8425" operator="containsText" id="{087B2629-7A21-4BF2-B75F-7936C1A0CFA9}">
            <xm:f>NOT(ISERROR(SEARCH(Einstellungen!$A$7,G26)))</xm:f>
            <xm:f>Einstellungen!$A$7</xm:f>
            <x14:dxf>
              <font>
                <color theme="1"/>
              </font>
              <fill>
                <patternFill>
                  <bgColor theme="7" tint="0.79998168889431442"/>
                </patternFill>
              </fill>
            </x14:dxf>
          </x14:cfRule>
          <x14:cfRule type="containsText" priority="8426" operator="containsText" id="{BD7A85E3-0ABF-4BD0-9827-FC5C065DC881}">
            <xm:f>NOT(ISERROR(SEARCH(Einstellungen!$A$9,G26)))</xm:f>
            <xm:f>Einstellungen!$A$9</xm:f>
            <x14:dxf>
              <font>
                <color theme="0"/>
              </font>
              <fill>
                <patternFill>
                  <bgColor theme="2" tint="-0.749961851863155"/>
                </patternFill>
              </fill>
            </x14:dxf>
          </x14:cfRule>
          <x14:cfRule type="containsText" priority="8427" operator="containsText" id="{0E420D5D-1EAB-465A-A476-B2C99BB9E168}">
            <xm:f>NOT(ISERROR(SEARCH(Einstellungen!$A$8,G26)))</xm:f>
            <xm:f>Einstellungen!$A$8</xm:f>
            <x14:dxf>
              <font>
                <color theme="1"/>
              </font>
              <fill>
                <patternFill>
                  <bgColor theme="7" tint="0.79998168889431442"/>
                </patternFill>
              </fill>
            </x14:dxf>
          </x14:cfRule>
          <x14:cfRule type="containsText" priority="8428" operator="containsText" id="{F75EA111-5B38-4CF4-986D-ABA181BBCCDE}">
            <xm:f>NOT(ISERROR(SEARCH(Einstellungen!$A$17,G26)))</xm:f>
            <xm:f>Einstellungen!$A$17</xm:f>
            <x14:dxf>
              <font>
                <color theme="1"/>
              </font>
              <fill>
                <patternFill>
                  <bgColor theme="7" tint="-0.24994659260841701"/>
                </patternFill>
              </fill>
            </x14:dxf>
          </x14:cfRule>
          <x14:cfRule type="containsText" priority="8429" operator="containsText" id="{744201BC-912B-481D-A7C5-2C109A100CF5}">
            <xm:f>NOT(ISERROR(SEARCH(Einstellungen!$A$16,G26)))</xm:f>
            <xm:f>Einstellungen!$A$16</xm:f>
            <x14:dxf>
              <font>
                <color theme="1"/>
              </font>
              <fill>
                <patternFill>
                  <bgColor theme="7" tint="0.39994506668294322"/>
                </patternFill>
              </fill>
            </x14:dxf>
          </x14:cfRule>
          <x14:cfRule type="containsText" priority="8430" operator="containsText" id="{73E21879-B72E-4ECA-AB66-6658CDD150E9}">
            <xm:f>NOT(ISERROR(SEARCH(Einstellungen!$A$15,G26)))</xm:f>
            <xm:f>Einstellungen!$A$15</xm:f>
            <x14:dxf>
              <font>
                <color theme="1"/>
              </font>
              <fill>
                <patternFill>
                  <bgColor theme="4" tint="0.39994506668294322"/>
                </patternFill>
              </fill>
            </x14:dxf>
          </x14:cfRule>
          <x14:cfRule type="containsText" priority="8431" operator="containsText" id="{2DDCD78E-128F-4E16-8BDC-39A0A6D81AB6}">
            <xm:f>NOT(ISERROR(SEARCH(Einstellungen!$A$14,G26)))</xm:f>
            <xm:f>Einstellungen!$A$14</xm:f>
            <x14:dxf>
              <font>
                <color theme="1"/>
              </font>
              <fill>
                <patternFill>
                  <bgColor theme="0" tint="-0.24994659260841701"/>
                </patternFill>
              </fill>
            </x14:dxf>
          </x14:cfRule>
          <x14:cfRule type="containsText" priority="8432" operator="containsText" id="{60937453-FC7C-4577-8901-D38C3DA9D9EF}">
            <xm:f>NOT(ISERROR(SEARCH(Einstellungen!$A$12,G26)))</xm:f>
            <xm:f>Einstellungen!$A$12</xm:f>
            <x14:dxf>
              <font>
                <color theme="1"/>
              </font>
              <fill>
                <patternFill>
                  <bgColor theme="0" tint="-0.24994659260841701"/>
                </patternFill>
              </fill>
            </x14:dxf>
          </x14:cfRule>
          <x14:cfRule type="containsText" priority="8433" operator="containsText" id="{3D0AC3C0-0198-412C-A754-04EED273E35C}">
            <xm:f>NOT(ISERROR(SEARCH(Einstellungen!$A$13,G26)))</xm:f>
            <xm:f>Einstellungen!$A$13</xm:f>
            <x14:dxf>
              <font>
                <color theme="1"/>
              </font>
              <fill>
                <patternFill>
                  <bgColor theme="0" tint="-0.24994659260841701"/>
                </patternFill>
              </fill>
            </x14:dxf>
          </x14:cfRule>
          <x14:cfRule type="containsText" priority="8434" operator="containsText" id="{A02B633C-4960-447D-9B10-942B578C8BC0}">
            <xm:f>NOT(ISERROR(SEARCH(Einstellungen!$A$11,G26)))</xm:f>
            <xm:f>Einstellungen!$A$11</xm:f>
            <x14:dxf>
              <font>
                <color theme="1"/>
              </font>
              <fill>
                <patternFill>
                  <bgColor theme="5" tint="0.39994506668294322"/>
                </patternFill>
              </fill>
            </x14:dxf>
          </x14:cfRule>
          <x14:cfRule type="containsText" priority="8435" operator="containsText" id="{3F516DF9-417D-4AE4-8C55-918F3FD7D092}">
            <xm:f>NOT(ISERROR(SEARCH(Einstellungen!$A$5,G26)))</xm:f>
            <xm:f>Einstellungen!$A$5</xm:f>
            <x14:dxf>
              <font>
                <color theme="0"/>
              </font>
              <fill>
                <patternFill>
                  <bgColor theme="2" tint="-0.749961851863155"/>
                </patternFill>
              </fill>
            </x14:dxf>
          </x14:cfRule>
          <x14:cfRule type="containsText" priority="8436" operator="containsText" id="{A29DCCAA-3E09-4A06-881C-819C7FA96B7A}">
            <xm:f>NOT(ISERROR(SEARCH(Einstellungen!$A$4,G26)))</xm:f>
            <xm:f>Einstellungen!$A$4</xm:f>
            <x14:dxf>
              <font>
                <color theme="1"/>
              </font>
              <fill>
                <patternFill>
                  <bgColor theme="0" tint="-0.24994659260841701"/>
                </patternFill>
              </fill>
            </x14:dxf>
          </x14:cfRule>
          <x14:cfRule type="containsText" priority="8437" operator="containsText" id="{33FD0404-CD5C-4BCB-B03D-7B59050C1C63}">
            <xm:f>NOT(ISERROR(SEARCH(Einstellungen!$A$3,G26)))</xm:f>
            <xm:f>Einstellungen!$A$3</xm:f>
            <x14:dxf>
              <font>
                <color theme="0"/>
              </font>
              <fill>
                <patternFill>
                  <bgColor rgb="FF002060"/>
                </patternFill>
              </fill>
            </x14:dxf>
          </x14:cfRule>
          <x14:cfRule type="containsText" priority="8438" operator="containsText" id="{ABE44ED3-F7B0-4FE9-8BF9-757010AD0B1C}">
            <xm:f>NOT(ISERROR(SEARCH(Einstellungen!$A$2,G26)))</xm:f>
            <xm:f>Einstellungen!$A$2</xm:f>
            <x14:dxf>
              <font>
                <color theme="0"/>
              </font>
              <fill>
                <patternFill>
                  <bgColor rgb="FF0070C0"/>
                </patternFill>
              </fill>
            </x14:dxf>
          </x14:cfRule>
          <x14:cfRule type="containsText" priority="8439" operator="containsText" id="{3D02C536-F623-4568-AC58-CA4949793CBE}">
            <xm:f>NOT(ISERROR(SEARCH(Einstellungen!$A$1,G26)))</xm:f>
            <xm:f>Einstellungen!$A$1</xm:f>
            <x14:dxf>
              <font>
                <color theme="0"/>
              </font>
              <fill>
                <patternFill>
                  <bgColor rgb="FF00B050"/>
                </patternFill>
              </fill>
            </x14:dxf>
          </x14:cfRule>
          <x14:cfRule type="expression" priority="8440" id="{DA6014B6-A177-4A56-8C38-185B0A0E2C7A}">
            <xm:f>IF(VLOOKUP(G$4,Einstellungen!$E$2:$E$15,1,FALSE)=G$4,TRUE,FALSE)</xm:f>
            <x14:dxf>
              <fill>
                <patternFill>
                  <bgColor rgb="FFFFE593"/>
                </patternFill>
              </fill>
            </x14:dxf>
          </x14:cfRule>
          <x14:cfRule type="expression" priority="8441" id="{E1DC0A77-745D-4AF2-A3C5-6535076FEE85}">
            <xm:f>IF(VLOOKUP(G$7,Einstellungen!$E$2:$E$15,1,FALSE)=G$7,TRUE,FALSE)</xm:f>
            <x14:dxf>
              <fill>
                <patternFill>
                  <bgColor rgb="FFFFE593"/>
                </patternFill>
              </fill>
            </x14:dxf>
          </x14:cfRule>
          <x14:cfRule type="containsText" priority="8444" operator="containsText" id="{A70E7EA1-F72D-4979-AD62-243EE93CE7F9}">
            <xm:f>NOT(ISERROR(SEARCH(Einstellungen!$A$5,G26)))</xm:f>
            <xm:f>Einstellungen!$A$5</xm:f>
            <x14:dxf>
              <font>
                <color theme="1"/>
              </font>
              <fill>
                <patternFill>
                  <bgColor theme="0" tint="-0.24994659260841701"/>
                </patternFill>
              </fill>
            </x14:dxf>
          </x14:cfRule>
          <x14:cfRule type="containsText" priority="8445" operator="containsText" id="{BC76A9D2-EF8E-4565-BA96-6FF4832D95B2}">
            <xm:f>NOT(ISERROR(SEARCH(Einstellungen!$A$4,G26)))</xm:f>
            <xm:f>Einstellungen!$A$4</xm:f>
            <x14:dxf>
              <font>
                <color theme="1"/>
              </font>
              <fill>
                <patternFill>
                  <bgColor theme="0" tint="-0.24994659260841701"/>
                </patternFill>
              </fill>
            </x14:dxf>
          </x14:cfRule>
          <x14:cfRule type="containsText" priority="8446" operator="containsText" id="{CED36CB1-A17F-4D1A-8FA5-8C044FCDB63F}">
            <xm:f>NOT(ISERROR(SEARCH(Einstellungen!$A$3,G26)))</xm:f>
            <xm:f>Einstellungen!$A$3</xm:f>
            <x14:dxf>
              <font>
                <color theme="0"/>
              </font>
              <fill>
                <patternFill>
                  <bgColor rgb="FF002060"/>
                </patternFill>
              </fill>
            </x14:dxf>
          </x14:cfRule>
          <x14:cfRule type="containsText" priority="8447" operator="containsText" id="{1BA45515-B7FC-4422-9811-1AF2AA7A8E22}">
            <xm:f>NOT(ISERROR(SEARCH(Einstellungen!$A$2,G26)))</xm:f>
            <xm:f>Einstellungen!$A$2</xm:f>
            <x14:dxf>
              <font>
                <color theme="0"/>
              </font>
              <fill>
                <patternFill>
                  <bgColor rgb="FF0070C0"/>
                </patternFill>
              </fill>
            </x14:dxf>
          </x14:cfRule>
          <x14:cfRule type="containsText" priority="8448" operator="containsText" id="{27BF5417-63C1-48BB-88FB-8A0039876369}">
            <xm:f>NOT(ISERROR(SEARCH(Einstellungen!$A$1,G26)))</xm:f>
            <xm:f>Einstellungen!$A$1</xm:f>
            <x14:dxf>
              <font>
                <color theme="0"/>
              </font>
              <fill>
                <patternFill>
                  <bgColor rgb="FF00B050"/>
                </patternFill>
              </fill>
            </x14:dxf>
          </x14:cfRule>
          <x14:cfRule type="expression" priority="8449" id="{76721D84-183B-4073-B835-98776C76E07F}">
            <xm:f>IF(VLOOKUP(G$4,Einstellungen!$E$2:$E$15,1,FALSE)=G$4,TRUE,FALSE)</xm:f>
            <x14:dxf>
              <fill>
                <patternFill>
                  <bgColor rgb="FFFFE593"/>
                </patternFill>
              </fill>
            </x14:dxf>
          </x14:cfRule>
          <x14:cfRule type="expression" priority="8450" id="{D455FE92-8E86-4FB9-B0A6-29E5ABFEA149}">
            <xm:f>IF(VLOOKUP(G$7,Einstellungen!$E$2:$E$15,1,FALSE)=G$7,TRUE,FALSE)</xm:f>
            <x14:dxf>
              <fill>
                <patternFill>
                  <bgColor rgb="FFFFE593"/>
                </patternFill>
              </fill>
            </x14:dxf>
          </x14:cfRule>
          <x14:cfRule type="beginsWith" priority="8453" operator="beginsWith" id="{56BF4443-707D-4926-A0D9-4A7D2A880A93}">
            <xm:f>LEFT(G26,LEN(Einstellungen!$A$19))=Einstellungen!$A$19</xm:f>
            <xm:f>Einstellungen!$A$19</xm:f>
            <x14:dxf>
              <font>
                <color theme="1"/>
              </font>
              <fill>
                <patternFill>
                  <bgColor theme="0" tint="-0.24994659260841701"/>
                </patternFill>
              </fill>
            </x14:dxf>
          </x14:cfRule>
          <x14:cfRule type="containsText" priority="8454" operator="containsText" id="{E98AE7F9-1989-42D8-949D-36B297B3A73F}">
            <xm:f>NOT(ISERROR(SEARCH(Einstellungen!$A$7,G26)))</xm:f>
            <xm:f>Einstellungen!$A$7</xm:f>
            <x14:dxf>
              <font>
                <color theme="1"/>
              </font>
              <fill>
                <patternFill>
                  <bgColor theme="7" tint="0.79998168889431442"/>
                </patternFill>
              </fill>
            </x14:dxf>
          </x14:cfRule>
          <x14:cfRule type="containsText" priority="8455" operator="containsText" id="{C5E43E2D-6025-48DE-9317-B0C6848FFF4A}">
            <xm:f>NOT(ISERROR(SEARCH(Einstellungen!$A$9,G26)))</xm:f>
            <xm:f>Einstellungen!$A$9</xm:f>
            <x14:dxf>
              <font>
                <color theme="0"/>
              </font>
              <fill>
                <patternFill>
                  <bgColor theme="2" tint="-0.749961851863155"/>
                </patternFill>
              </fill>
            </x14:dxf>
          </x14:cfRule>
          <x14:cfRule type="containsText" priority="8456" operator="containsText" id="{C6C2DAE5-DA39-4F42-AD6A-11E056B01D0D}">
            <xm:f>NOT(ISERROR(SEARCH(Einstellungen!$A$8,G26)))</xm:f>
            <xm:f>Einstellungen!$A$8</xm:f>
            <x14:dxf>
              <font>
                <color theme="1"/>
              </font>
              <fill>
                <patternFill>
                  <bgColor theme="7" tint="0.79998168889431442"/>
                </patternFill>
              </fill>
            </x14:dxf>
          </x14:cfRule>
          <x14:cfRule type="containsText" priority="8457" operator="containsText" id="{CED58FF3-EBB0-477B-9972-031DE40A5328}">
            <xm:f>NOT(ISERROR(SEARCH(Einstellungen!$A$17,G26)))</xm:f>
            <xm:f>Einstellungen!$A$17</xm:f>
            <x14:dxf>
              <font>
                <color theme="1"/>
              </font>
              <fill>
                <patternFill>
                  <bgColor theme="7" tint="-0.24994659260841701"/>
                </patternFill>
              </fill>
            </x14:dxf>
          </x14:cfRule>
          <x14:cfRule type="containsText" priority="8458" operator="containsText" id="{CFF29FD9-4D2A-4940-9DCE-723A17C361CF}">
            <xm:f>NOT(ISERROR(SEARCH(Einstellungen!$A$16,G26)))</xm:f>
            <xm:f>Einstellungen!$A$16</xm:f>
            <x14:dxf>
              <font>
                <color theme="1"/>
              </font>
              <fill>
                <patternFill>
                  <bgColor theme="7" tint="0.39994506668294322"/>
                </patternFill>
              </fill>
            </x14:dxf>
          </x14:cfRule>
          <x14:cfRule type="containsText" priority="8459" operator="containsText" id="{DFAB98A8-687C-4458-8E74-472584C82FD7}">
            <xm:f>NOT(ISERROR(SEARCH(Einstellungen!$A$15,G26)))</xm:f>
            <xm:f>Einstellungen!$A$15</xm:f>
            <x14:dxf>
              <font>
                <color theme="1"/>
              </font>
              <fill>
                <patternFill>
                  <bgColor theme="4" tint="0.39994506668294322"/>
                </patternFill>
              </fill>
            </x14:dxf>
          </x14:cfRule>
          <x14:cfRule type="containsText" priority="8460" operator="containsText" id="{4D8869CD-156F-4D7C-B421-6B3DBFC765D9}">
            <xm:f>NOT(ISERROR(SEARCH(Einstellungen!$A$14,G26)))</xm:f>
            <xm:f>Einstellungen!$A$14</xm:f>
            <x14:dxf>
              <font>
                <color theme="1"/>
              </font>
              <fill>
                <patternFill>
                  <bgColor theme="0" tint="-0.24994659260841701"/>
                </patternFill>
              </fill>
            </x14:dxf>
          </x14:cfRule>
          <x14:cfRule type="containsText" priority="8461" operator="containsText" id="{ABB53A53-8E95-4568-88ED-E14638FF6704}">
            <xm:f>NOT(ISERROR(SEARCH(Einstellungen!$A$12,G26)))</xm:f>
            <xm:f>Einstellungen!$A$12</xm:f>
            <x14:dxf>
              <font>
                <color theme="1"/>
              </font>
              <fill>
                <patternFill>
                  <bgColor theme="0" tint="-0.24994659260841701"/>
                </patternFill>
              </fill>
            </x14:dxf>
          </x14:cfRule>
          <x14:cfRule type="containsText" priority="8462" operator="containsText" id="{6525C02E-2433-4703-AC9E-A6ADF95FFF02}">
            <xm:f>NOT(ISERROR(SEARCH(Einstellungen!$A$13,G26)))</xm:f>
            <xm:f>Einstellungen!$A$13</xm:f>
            <x14:dxf>
              <font>
                <color theme="1"/>
              </font>
              <fill>
                <patternFill>
                  <bgColor theme="0" tint="-0.24994659260841701"/>
                </patternFill>
              </fill>
            </x14:dxf>
          </x14:cfRule>
          <x14:cfRule type="containsText" priority="8463" operator="containsText" id="{D35105BF-44C9-4B6B-AE27-2F8F1482E2AA}">
            <xm:f>NOT(ISERROR(SEARCH(Einstellungen!$A$11,G26)))</xm:f>
            <xm:f>Einstellungen!$A$11</xm:f>
            <x14:dxf>
              <font>
                <color theme="1"/>
              </font>
              <fill>
                <patternFill>
                  <bgColor theme="5" tint="0.39994506668294322"/>
                </patternFill>
              </fill>
            </x14:dxf>
          </x14:cfRule>
          <x14:cfRule type="containsText" priority="8464" operator="containsText" id="{9E5C641B-CF53-49D3-B85E-DB4D75972117}">
            <xm:f>NOT(ISERROR(SEARCH(Einstellungen!$A$5,G26)))</xm:f>
            <xm:f>Einstellungen!$A$5</xm:f>
            <x14:dxf>
              <font>
                <color theme="0"/>
              </font>
              <fill>
                <patternFill>
                  <bgColor theme="2" tint="-0.749961851863155"/>
                </patternFill>
              </fill>
            </x14:dxf>
          </x14:cfRule>
          <x14:cfRule type="containsText" priority="8465" operator="containsText" id="{DA871B07-B47C-4972-BEAF-3B017DC27445}">
            <xm:f>NOT(ISERROR(SEARCH(Einstellungen!$A$4,G26)))</xm:f>
            <xm:f>Einstellungen!$A$4</xm:f>
            <x14:dxf>
              <font>
                <color theme="1"/>
              </font>
              <fill>
                <patternFill>
                  <bgColor theme="0" tint="-0.24994659260841701"/>
                </patternFill>
              </fill>
            </x14:dxf>
          </x14:cfRule>
          <x14:cfRule type="containsText" priority="8466" operator="containsText" id="{F58A3C98-2342-43B7-961D-88A17C92B795}">
            <xm:f>NOT(ISERROR(SEARCH(Einstellungen!$A$3,G26)))</xm:f>
            <xm:f>Einstellungen!$A$3</xm:f>
            <x14:dxf>
              <font>
                <color theme="0"/>
              </font>
              <fill>
                <patternFill>
                  <bgColor rgb="FF002060"/>
                </patternFill>
              </fill>
            </x14:dxf>
          </x14:cfRule>
          <x14:cfRule type="containsText" priority="8467" operator="containsText" id="{0E2A3004-62D7-44BB-A23F-AF62C175ED48}">
            <xm:f>NOT(ISERROR(SEARCH(Einstellungen!$A$2,G26)))</xm:f>
            <xm:f>Einstellungen!$A$2</xm:f>
            <x14:dxf>
              <font>
                <color theme="0"/>
              </font>
              <fill>
                <patternFill>
                  <bgColor rgb="FF0070C0"/>
                </patternFill>
              </fill>
            </x14:dxf>
          </x14:cfRule>
          <x14:cfRule type="containsText" priority="8468" operator="containsText" id="{0F8F1903-2B4B-4946-B685-A23C5DAB4BCA}">
            <xm:f>NOT(ISERROR(SEARCH(Einstellungen!$A$1,G26)))</xm:f>
            <xm:f>Einstellungen!$A$1</xm:f>
            <x14:dxf>
              <font>
                <color theme="0"/>
              </font>
              <fill>
                <patternFill>
                  <bgColor rgb="FF00B050"/>
                </patternFill>
              </fill>
            </x14:dxf>
          </x14:cfRule>
          <x14:cfRule type="expression" priority="8469" id="{9D830C17-6E55-45B6-84EC-CD10A6C3E886}">
            <xm:f>IF(VLOOKUP(G$4,Einstellungen!$E$2:$E$15,1,FALSE)=G$4,TRUE,FALSE)</xm:f>
            <x14:dxf>
              <fill>
                <patternFill>
                  <bgColor rgb="FFFFE593"/>
                </patternFill>
              </fill>
            </x14:dxf>
          </x14:cfRule>
          <x14:cfRule type="expression" priority="8470" id="{ECC00364-4450-4EA0-A8ED-5E7687CFCD3C}">
            <xm:f>IF(VLOOKUP(G$7,Einstellungen!$E$2:$E$15,1,FALSE)=G$7,TRUE,FALSE)</xm:f>
            <x14:dxf>
              <fill>
                <patternFill>
                  <bgColor rgb="FFFFE593"/>
                </patternFill>
              </fill>
            </x14:dxf>
          </x14:cfRule>
          <x14:cfRule type="containsText" priority="8473" operator="containsText" id="{A2547951-88D8-4863-A34B-EA613ACB12AC}">
            <xm:f>NOT(ISERROR(SEARCH(Einstellungen!$A$5,G26)))</xm:f>
            <xm:f>Einstellungen!$A$5</xm:f>
            <x14:dxf>
              <font>
                <color theme="1"/>
              </font>
              <fill>
                <patternFill>
                  <bgColor theme="0" tint="-0.24994659260841701"/>
                </patternFill>
              </fill>
            </x14:dxf>
          </x14:cfRule>
          <x14:cfRule type="containsText" priority="8474" operator="containsText" id="{EF013937-64CA-4FEF-A969-C4BA7AE3871A}">
            <xm:f>NOT(ISERROR(SEARCH(Einstellungen!$A$4,G26)))</xm:f>
            <xm:f>Einstellungen!$A$4</xm:f>
            <x14:dxf>
              <font>
                <color theme="1"/>
              </font>
              <fill>
                <patternFill>
                  <bgColor theme="0" tint="-0.24994659260841701"/>
                </patternFill>
              </fill>
            </x14:dxf>
          </x14:cfRule>
          <x14:cfRule type="containsText" priority="8475" operator="containsText" id="{67CB6B69-945B-4A93-B958-088D8168A9B1}">
            <xm:f>NOT(ISERROR(SEARCH(Einstellungen!$A$3,G26)))</xm:f>
            <xm:f>Einstellungen!$A$3</xm:f>
            <x14:dxf>
              <font>
                <color theme="0"/>
              </font>
              <fill>
                <patternFill>
                  <bgColor rgb="FF002060"/>
                </patternFill>
              </fill>
            </x14:dxf>
          </x14:cfRule>
          <x14:cfRule type="containsText" priority="8476" operator="containsText" id="{41D6C472-70DF-40A8-BE89-E06452569B79}">
            <xm:f>NOT(ISERROR(SEARCH(Einstellungen!$A$2,G26)))</xm:f>
            <xm:f>Einstellungen!$A$2</xm:f>
            <x14:dxf>
              <font>
                <color theme="0"/>
              </font>
              <fill>
                <patternFill>
                  <bgColor rgb="FF0070C0"/>
                </patternFill>
              </fill>
            </x14:dxf>
          </x14:cfRule>
          <x14:cfRule type="containsText" priority="8477" operator="containsText" id="{C5C209A7-DB70-4A58-B5AB-34217300777E}">
            <xm:f>NOT(ISERROR(SEARCH(Einstellungen!$A$1,G26)))</xm:f>
            <xm:f>Einstellungen!$A$1</xm:f>
            <x14:dxf>
              <font>
                <color theme="0"/>
              </font>
              <fill>
                <patternFill>
                  <bgColor rgb="FF00B050"/>
                </patternFill>
              </fill>
            </x14:dxf>
          </x14:cfRule>
          <x14:cfRule type="expression" priority="8478" id="{6AFB69EA-F37B-4D30-AFCE-50E77EE41CDA}">
            <xm:f>IF(VLOOKUP(G$4,Einstellungen!$E$2:$E$15,1,FALSE)=G$4,TRUE,FALSE)</xm:f>
            <x14:dxf>
              <fill>
                <patternFill>
                  <bgColor rgb="FFFFE593"/>
                </patternFill>
              </fill>
            </x14:dxf>
          </x14:cfRule>
          <x14:cfRule type="expression" priority="8479" id="{B5D97703-DF09-4098-AD6D-EA3342E14602}">
            <xm:f>IF(VLOOKUP(G$7,Einstellungen!$E$2:$E$15,1,FALSE)=G$7,TRUE,FALSE)</xm:f>
            <x14:dxf>
              <fill>
                <patternFill>
                  <bgColor rgb="FFFFE593"/>
                </patternFill>
              </fill>
            </x14:dxf>
          </x14:cfRule>
          <x14:cfRule type="containsText" priority="8482" operator="containsText" id="{60B5E808-B479-4411-951D-A2E259E9DFAC}">
            <xm:f>NOT(ISERROR(SEARCH(Einstellungen!$A$7,G26)))</xm:f>
            <xm:f>Einstellungen!$A$7</xm:f>
            <x14:dxf>
              <font>
                <color theme="1"/>
              </font>
              <fill>
                <patternFill>
                  <bgColor theme="7" tint="0.79998168889431442"/>
                </patternFill>
              </fill>
            </x14:dxf>
          </x14:cfRule>
          <x14:cfRule type="containsText" priority="8483" operator="containsText" id="{02E0C2C9-14E9-4DAF-90E4-4FE9E5DE2322}">
            <xm:f>NOT(ISERROR(SEARCH(Einstellungen!$A$9,G26)))</xm:f>
            <xm:f>Einstellungen!$A$9</xm:f>
            <x14:dxf>
              <font>
                <color theme="0"/>
              </font>
              <fill>
                <patternFill>
                  <bgColor theme="2" tint="-0.749961851863155"/>
                </patternFill>
              </fill>
            </x14:dxf>
          </x14:cfRule>
          <x14:cfRule type="containsText" priority="8484" operator="containsText" id="{A5AE4BF3-F005-43BC-AA28-5E18556AA66F}">
            <xm:f>NOT(ISERROR(SEARCH(Einstellungen!$A$8,G26)))</xm:f>
            <xm:f>Einstellungen!$A$8</xm:f>
            <x14:dxf>
              <font>
                <color theme="1"/>
              </font>
              <fill>
                <patternFill>
                  <bgColor theme="7" tint="0.79998168889431442"/>
                </patternFill>
              </fill>
            </x14:dxf>
          </x14:cfRule>
          <x14:cfRule type="containsText" priority="8485" operator="containsText" id="{9333C7D9-E174-4290-9C5E-FB66221D0AA4}">
            <xm:f>NOT(ISERROR(SEARCH(Einstellungen!$A$17,G26)))</xm:f>
            <xm:f>Einstellungen!$A$17</xm:f>
            <x14:dxf>
              <font>
                <color theme="1"/>
              </font>
              <fill>
                <patternFill>
                  <bgColor theme="7" tint="-0.24994659260841701"/>
                </patternFill>
              </fill>
            </x14:dxf>
          </x14:cfRule>
          <x14:cfRule type="containsText" priority="8486" operator="containsText" id="{B5CDE7B0-1726-4355-939C-E2EC248E77E8}">
            <xm:f>NOT(ISERROR(SEARCH(Einstellungen!$A$16,G26)))</xm:f>
            <xm:f>Einstellungen!$A$16</xm:f>
            <x14:dxf>
              <font>
                <color theme="1"/>
              </font>
              <fill>
                <patternFill>
                  <bgColor theme="7" tint="0.39994506668294322"/>
                </patternFill>
              </fill>
            </x14:dxf>
          </x14:cfRule>
          <x14:cfRule type="containsText" priority="8487" operator="containsText" id="{71502A81-4E9A-49A9-9FE2-707B59D1E766}">
            <xm:f>NOT(ISERROR(SEARCH(Einstellungen!$A$15,G26)))</xm:f>
            <xm:f>Einstellungen!$A$15</xm:f>
            <x14:dxf>
              <font>
                <color theme="1"/>
              </font>
              <fill>
                <patternFill>
                  <bgColor theme="4" tint="0.39994506668294322"/>
                </patternFill>
              </fill>
            </x14:dxf>
          </x14:cfRule>
          <x14:cfRule type="containsText" priority="8488" operator="containsText" id="{0850AA25-544C-49FE-9F17-5346E021BCC0}">
            <xm:f>NOT(ISERROR(SEARCH(Einstellungen!$A$14,G26)))</xm:f>
            <xm:f>Einstellungen!$A$14</xm:f>
            <x14:dxf>
              <font>
                <color theme="1"/>
              </font>
              <fill>
                <patternFill>
                  <bgColor theme="0" tint="-0.24994659260841701"/>
                </patternFill>
              </fill>
            </x14:dxf>
          </x14:cfRule>
          <x14:cfRule type="containsText" priority="8489" operator="containsText" id="{794FC5BE-AC81-4D30-A630-C70E15367784}">
            <xm:f>NOT(ISERROR(SEARCH(Einstellungen!$A$12,G26)))</xm:f>
            <xm:f>Einstellungen!$A$12</xm:f>
            <x14:dxf>
              <font>
                <color theme="1"/>
              </font>
              <fill>
                <patternFill>
                  <bgColor theme="0" tint="-0.24994659260841701"/>
                </patternFill>
              </fill>
            </x14:dxf>
          </x14:cfRule>
          <x14:cfRule type="containsText" priority="8490" operator="containsText" id="{162AEC22-41D2-4DC1-A969-32251D05E810}">
            <xm:f>NOT(ISERROR(SEARCH(Einstellungen!$A$13,G26)))</xm:f>
            <xm:f>Einstellungen!$A$13</xm:f>
            <x14:dxf>
              <font>
                <color theme="1"/>
              </font>
              <fill>
                <patternFill>
                  <bgColor theme="0" tint="-0.24994659260841701"/>
                </patternFill>
              </fill>
            </x14:dxf>
          </x14:cfRule>
          <x14:cfRule type="containsText" priority="8491" operator="containsText" id="{58512AB2-6FD3-423F-8F63-D747B182B196}">
            <xm:f>NOT(ISERROR(SEARCH(Einstellungen!$A$11,G26)))</xm:f>
            <xm:f>Einstellungen!$A$11</xm:f>
            <x14:dxf>
              <font>
                <color theme="1"/>
              </font>
              <fill>
                <patternFill>
                  <bgColor theme="5" tint="0.39994506668294322"/>
                </patternFill>
              </fill>
            </x14:dxf>
          </x14:cfRule>
          <x14:cfRule type="containsText" priority="8492" operator="containsText" id="{9974C162-8C07-4D56-9C5C-AFD4531D0D72}">
            <xm:f>NOT(ISERROR(SEARCH(Einstellungen!$A$5,G26)))</xm:f>
            <xm:f>Einstellungen!$A$5</xm:f>
            <x14:dxf>
              <font>
                <color theme="0"/>
              </font>
              <fill>
                <patternFill>
                  <bgColor theme="2" tint="-0.749961851863155"/>
                </patternFill>
              </fill>
            </x14:dxf>
          </x14:cfRule>
          <x14:cfRule type="containsText" priority="8493" operator="containsText" id="{2F0CFD82-7E1E-4D06-B896-A41B1B1A3694}">
            <xm:f>NOT(ISERROR(SEARCH(Einstellungen!$A$4,G26)))</xm:f>
            <xm:f>Einstellungen!$A$4</xm:f>
            <x14:dxf>
              <font>
                <color theme="1"/>
              </font>
              <fill>
                <patternFill>
                  <bgColor theme="0" tint="-0.24994659260841701"/>
                </patternFill>
              </fill>
            </x14:dxf>
          </x14:cfRule>
          <x14:cfRule type="containsText" priority="8494" operator="containsText" id="{99B66D47-2889-4908-9B36-7A39DD8DB87B}">
            <xm:f>NOT(ISERROR(SEARCH(Einstellungen!$A$3,G26)))</xm:f>
            <xm:f>Einstellungen!$A$3</xm:f>
            <x14:dxf>
              <font>
                <color theme="0"/>
              </font>
              <fill>
                <patternFill>
                  <bgColor rgb="FF002060"/>
                </patternFill>
              </fill>
            </x14:dxf>
          </x14:cfRule>
          <x14:cfRule type="containsText" priority="8495" operator="containsText" id="{A3113B32-403E-4C21-9D40-D9C40F0048C4}">
            <xm:f>NOT(ISERROR(SEARCH(Einstellungen!$A$2,G26)))</xm:f>
            <xm:f>Einstellungen!$A$2</xm:f>
            <x14:dxf>
              <font>
                <color theme="0"/>
              </font>
              <fill>
                <patternFill>
                  <bgColor rgb="FF0070C0"/>
                </patternFill>
              </fill>
            </x14:dxf>
          </x14:cfRule>
          <x14:cfRule type="containsText" priority="8496" operator="containsText" id="{2D2247AB-AAE8-4F1D-A948-C3763B1C25CD}">
            <xm:f>NOT(ISERROR(SEARCH(Einstellungen!$A$1,G26)))</xm:f>
            <xm:f>Einstellungen!$A$1</xm:f>
            <x14:dxf>
              <font>
                <color theme="0"/>
              </font>
              <fill>
                <patternFill>
                  <bgColor rgb="FF00B050"/>
                </patternFill>
              </fill>
            </x14:dxf>
          </x14:cfRule>
          <x14:cfRule type="expression" priority="8497" id="{208BE63B-238E-476D-AD5A-A182964DA3D7}">
            <xm:f>IF(VLOOKUP(G$4,Einstellungen!$E$2:$E$15,1,FALSE)=G$4,TRUE,FALSE)</xm:f>
            <x14:dxf>
              <fill>
                <patternFill>
                  <bgColor rgb="FFFFE593"/>
                </patternFill>
              </fill>
            </x14:dxf>
          </x14:cfRule>
          <x14:cfRule type="expression" priority="8498" id="{740FFB33-90C7-4630-920C-8217CC726C57}">
            <xm:f>IF(VLOOKUP(G$7,Einstellungen!$E$2:$E$15,1,FALSE)=G$7,TRUE,FALSE)</xm:f>
            <x14:dxf>
              <fill>
                <patternFill>
                  <bgColor rgb="FFFFE593"/>
                </patternFill>
              </fill>
            </x14:dxf>
          </x14:cfRule>
          <x14:cfRule type="containsText" priority="8501" operator="containsText" id="{D6C4F33C-A102-43AA-8B4D-5A2A3C0CA720}">
            <xm:f>NOT(ISERROR(SEARCH(Einstellungen!$A$5,G26)))</xm:f>
            <xm:f>Einstellungen!$A$5</xm:f>
            <x14:dxf>
              <font>
                <color theme="1"/>
              </font>
              <fill>
                <patternFill>
                  <bgColor theme="0" tint="-0.24994659260841701"/>
                </patternFill>
              </fill>
            </x14:dxf>
          </x14:cfRule>
          <x14:cfRule type="containsText" priority="8502" operator="containsText" id="{7D308D3B-06D9-46F4-9B71-3E594CEBE69B}">
            <xm:f>NOT(ISERROR(SEARCH(Einstellungen!$A$4,G26)))</xm:f>
            <xm:f>Einstellungen!$A$4</xm:f>
            <x14:dxf>
              <font>
                <color theme="1"/>
              </font>
              <fill>
                <patternFill>
                  <bgColor theme="0" tint="-0.24994659260841701"/>
                </patternFill>
              </fill>
            </x14:dxf>
          </x14:cfRule>
          <x14:cfRule type="containsText" priority="8503" operator="containsText" id="{4245EFE8-DDDA-42B5-AEDB-3F14DACB4240}">
            <xm:f>NOT(ISERROR(SEARCH(Einstellungen!$A$3,G26)))</xm:f>
            <xm:f>Einstellungen!$A$3</xm:f>
            <x14:dxf>
              <font>
                <color theme="0"/>
              </font>
              <fill>
                <patternFill>
                  <bgColor rgb="FF002060"/>
                </patternFill>
              </fill>
            </x14:dxf>
          </x14:cfRule>
          <x14:cfRule type="containsText" priority="8504" operator="containsText" id="{EF200FC9-3444-48DC-93C8-6564DB034071}">
            <xm:f>NOT(ISERROR(SEARCH(Einstellungen!$A$2,G26)))</xm:f>
            <xm:f>Einstellungen!$A$2</xm:f>
            <x14:dxf>
              <font>
                <color theme="0"/>
              </font>
              <fill>
                <patternFill>
                  <bgColor rgb="FF0070C0"/>
                </patternFill>
              </fill>
            </x14:dxf>
          </x14:cfRule>
          <x14:cfRule type="containsText" priority="8505" operator="containsText" id="{6927416D-DB0A-4224-B37B-C0DC5238AEA5}">
            <xm:f>NOT(ISERROR(SEARCH(Einstellungen!$A$1,G26)))</xm:f>
            <xm:f>Einstellungen!$A$1</xm:f>
            <x14:dxf>
              <font>
                <color theme="0"/>
              </font>
              <fill>
                <patternFill>
                  <bgColor rgb="FF00B050"/>
                </patternFill>
              </fill>
            </x14:dxf>
          </x14:cfRule>
          <x14:cfRule type="expression" priority="8506" id="{9C784DAD-633C-46B3-938F-4B9C8FA9416F}">
            <xm:f>IF(VLOOKUP(G$4,Einstellungen!$E$2:$E$15,1,FALSE)=G$4,TRUE,FALSE)</xm:f>
            <x14:dxf>
              <fill>
                <patternFill>
                  <bgColor rgb="FFFFE593"/>
                </patternFill>
              </fill>
            </x14:dxf>
          </x14:cfRule>
          <x14:cfRule type="expression" priority="8507" id="{05799804-6B6E-4E9A-B121-0B62A1AF2148}">
            <xm:f>IF(VLOOKUP(G$7,Einstellungen!$E$2:$E$15,1,FALSE)=G$7,TRUE,FALSE)</xm:f>
            <x14:dxf>
              <fill>
                <patternFill>
                  <bgColor rgb="FFFFE593"/>
                </patternFill>
              </fill>
            </x14:dxf>
          </x14:cfRule>
          <x14:cfRule type="containsText" priority="8510" operator="containsText" id="{970703C3-7ED5-41AC-B7F1-46EB1D8D707B}">
            <xm:f>NOT(ISERROR(SEARCH(Einstellungen!$A$18,G26)))</xm:f>
            <xm:f>Einstellungen!$A$18</xm:f>
            <x14:dxf>
              <font>
                <color rgb="FFFFFF00"/>
              </font>
              <fill>
                <patternFill>
                  <bgColor theme="8" tint="-0.499984740745262"/>
                </patternFill>
              </fill>
            </x14:dxf>
          </x14:cfRule>
          <x14:cfRule type="containsText" priority="8511" operator="containsText" id="{0CB02346-5A9A-412C-A226-A9C918BAF138}">
            <xm:f>NOT(ISERROR(SEARCH(Einstellungen!$A$7,G26)))</xm:f>
            <xm:f>Einstellungen!$A$7</xm:f>
            <x14:dxf>
              <font>
                <color theme="1"/>
              </font>
              <fill>
                <patternFill>
                  <bgColor theme="7" tint="0.79998168889431442"/>
                </patternFill>
              </fill>
            </x14:dxf>
          </x14:cfRule>
          <x14:cfRule type="containsText" priority="8512" operator="containsText" id="{AB683457-A179-4646-9BEA-06B058D872F5}">
            <xm:f>NOT(ISERROR(SEARCH(Einstellungen!$A$9,G26)))</xm:f>
            <xm:f>Einstellungen!$A$9</xm:f>
            <x14:dxf>
              <font>
                <color theme="0"/>
              </font>
              <fill>
                <patternFill>
                  <bgColor theme="2" tint="-0.749961851863155"/>
                </patternFill>
              </fill>
            </x14:dxf>
          </x14:cfRule>
          <x14:cfRule type="containsText" priority="8513" operator="containsText" id="{C939FC96-07FB-4C34-8EFB-6B1C56A7193E}">
            <xm:f>NOT(ISERROR(SEARCH(Einstellungen!$A$8,G26)))</xm:f>
            <xm:f>Einstellungen!$A$8</xm:f>
            <x14:dxf>
              <font>
                <color theme="1"/>
              </font>
              <fill>
                <patternFill>
                  <bgColor theme="7" tint="0.79998168889431442"/>
                </patternFill>
              </fill>
            </x14:dxf>
          </x14:cfRule>
          <x14:cfRule type="containsText" priority="8514" operator="containsText" id="{F5B3FFBF-A1D8-420C-9370-AF0BBFFD0A32}">
            <xm:f>NOT(ISERROR(SEARCH(Einstellungen!$A$17,G26)))</xm:f>
            <xm:f>Einstellungen!$A$17</xm:f>
            <x14:dxf>
              <font>
                <color theme="1"/>
              </font>
              <fill>
                <patternFill>
                  <bgColor theme="7" tint="-0.24994659260841701"/>
                </patternFill>
              </fill>
            </x14:dxf>
          </x14:cfRule>
          <x14:cfRule type="containsText" priority="8515" operator="containsText" id="{EDAB6276-87DF-4DEB-896E-7B60988663EE}">
            <xm:f>NOT(ISERROR(SEARCH(Einstellungen!$A$16,G26)))</xm:f>
            <xm:f>Einstellungen!$A$16</xm:f>
            <x14:dxf>
              <font>
                <color theme="1"/>
              </font>
              <fill>
                <patternFill>
                  <bgColor theme="7" tint="0.39994506668294322"/>
                </patternFill>
              </fill>
            </x14:dxf>
          </x14:cfRule>
          <x14:cfRule type="containsText" priority="8516" operator="containsText" id="{D22CC063-9179-43F2-A6B0-B97B2AD00B0C}">
            <xm:f>NOT(ISERROR(SEARCH(Einstellungen!$A$15,G26)))</xm:f>
            <xm:f>Einstellungen!$A$15</xm:f>
            <x14:dxf>
              <font>
                <color theme="1"/>
              </font>
              <fill>
                <patternFill>
                  <bgColor theme="4" tint="0.39994506668294322"/>
                </patternFill>
              </fill>
            </x14:dxf>
          </x14:cfRule>
          <x14:cfRule type="containsText" priority="8517" operator="containsText" id="{FEC72D55-8BE8-4F4A-9F1D-0E173A37116E}">
            <xm:f>NOT(ISERROR(SEARCH(Einstellungen!$A$14,G26)))</xm:f>
            <xm:f>Einstellungen!$A$14</xm:f>
            <x14:dxf>
              <font>
                <color theme="1"/>
              </font>
              <fill>
                <patternFill>
                  <bgColor theme="0" tint="-0.24994659260841701"/>
                </patternFill>
              </fill>
            </x14:dxf>
          </x14:cfRule>
          <x14:cfRule type="containsText" priority="8518" operator="containsText" id="{F6B1A5E9-73EB-4588-A57C-C4705A02FBC5}">
            <xm:f>NOT(ISERROR(SEARCH(Einstellungen!$A$12,G26)))</xm:f>
            <xm:f>Einstellungen!$A$12</xm:f>
            <x14:dxf>
              <font>
                <color theme="1"/>
              </font>
              <fill>
                <patternFill>
                  <bgColor theme="0" tint="-0.24994659260841701"/>
                </patternFill>
              </fill>
            </x14:dxf>
          </x14:cfRule>
          <x14:cfRule type="containsText" priority="8519" operator="containsText" id="{CAC1D68D-E378-4258-A94D-5F74246F986C}">
            <xm:f>NOT(ISERROR(SEARCH(Einstellungen!$A$13,G26)))</xm:f>
            <xm:f>Einstellungen!$A$13</xm:f>
            <x14:dxf>
              <font>
                <color theme="1"/>
              </font>
              <fill>
                <patternFill>
                  <bgColor theme="0" tint="-0.24994659260841701"/>
                </patternFill>
              </fill>
            </x14:dxf>
          </x14:cfRule>
          <x14:cfRule type="containsText" priority="8520" operator="containsText" id="{D8743CD4-4B23-4647-AC37-CEA270344792}">
            <xm:f>NOT(ISERROR(SEARCH(Einstellungen!$A$11,G26)))</xm:f>
            <xm:f>Einstellungen!$A$11</xm:f>
            <x14:dxf>
              <font>
                <color theme="1"/>
              </font>
              <fill>
                <patternFill>
                  <bgColor theme="5" tint="0.39994506668294322"/>
                </patternFill>
              </fill>
            </x14:dxf>
          </x14:cfRule>
          <x14:cfRule type="containsText" priority="8521" operator="containsText" id="{376B3006-92C3-4DF1-92A3-7723AD7086DE}">
            <xm:f>NOT(ISERROR(SEARCH(Einstellungen!$A$5,G26)))</xm:f>
            <xm:f>Einstellungen!$A$5</xm:f>
            <x14:dxf>
              <font>
                <color theme="0"/>
              </font>
              <fill>
                <patternFill>
                  <bgColor theme="2" tint="-0.749961851863155"/>
                </patternFill>
              </fill>
            </x14:dxf>
          </x14:cfRule>
          <x14:cfRule type="containsText" priority="8522" operator="containsText" id="{65AFA5C2-0D37-439D-B557-D9988AFFD36A}">
            <xm:f>NOT(ISERROR(SEARCH(Einstellungen!$A$4,G26)))</xm:f>
            <xm:f>Einstellungen!$A$4</xm:f>
            <x14:dxf>
              <font>
                <color theme="1"/>
              </font>
              <fill>
                <patternFill>
                  <bgColor theme="0" tint="-0.24994659260841701"/>
                </patternFill>
              </fill>
            </x14:dxf>
          </x14:cfRule>
          <x14:cfRule type="containsText" priority="8523" operator="containsText" id="{603CD8A8-3A2C-4C76-A6FE-00691A206472}">
            <xm:f>NOT(ISERROR(SEARCH(Einstellungen!$A$3,G26)))</xm:f>
            <xm:f>Einstellungen!$A$3</xm:f>
            <x14:dxf>
              <font>
                <color theme="0"/>
              </font>
              <fill>
                <patternFill>
                  <bgColor rgb="FF002060"/>
                </patternFill>
              </fill>
            </x14:dxf>
          </x14:cfRule>
          <x14:cfRule type="containsText" priority="8524" operator="containsText" id="{6DD8F9EE-FE62-434C-808F-C5CC6B72AC27}">
            <xm:f>NOT(ISERROR(SEARCH(Einstellungen!$A$2,G26)))</xm:f>
            <xm:f>Einstellungen!$A$2</xm:f>
            <x14:dxf>
              <font>
                <color theme="0"/>
              </font>
              <fill>
                <patternFill>
                  <bgColor rgb="FF0070C0"/>
                </patternFill>
              </fill>
            </x14:dxf>
          </x14:cfRule>
          <x14:cfRule type="containsText" priority="8525" operator="containsText" id="{D3925125-A56F-486D-8AA9-48EA1CA20204}">
            <xm:f>NOT(ISERROR(SEARCH(Einstellungen!$A$1,G26)))</xm:f>
            <xm:f>Einstellungen!$A$1</xm:f>
            <x14:dxf>
              <font>
                <color theme="0"/>
              </font>
              <fill>
                <patternFill>
                  <bgColor rgb="FF00B050"/>
                </patternFill>
              </fill>
            </x14:dxf>
          </x14:cfRule>
          <x14:cfRule type="expression" priority="8526" id="{376DBF16-B273-410F-890F-0A49DCE05090}">
            <xm:f>IF(VLOOKUP(G$4,Einstellungen!$E$2:$E$15,1,FALSE)=G$4,TRUE,FALSE)</xm:f>
            <x14:dxf>
              <fill>
                <patternFill>
                  <bgColor rgb="FFFFE593"/>
                </patternFill>
              </fill>
            </x14:dxf>
          </x14:cfRule>
          <x14:cfRule type="expression" priority="8527" id="{EF454D47-6213-47FD-91C6-3F56798F2AF2}">
            <xm:f>IF(VLOOKUP(G$7,Einstellungen!$E$2:$E$15,1,FALSE)=G$7,TRUE,FALSE)</xm:f>
            <x14:dxf>
              <fill>
                <patternFill>
                  <bgColor rgb="FFFFE593"/>
                </patternFill>
              </fill>
            </x14:dxf>
          </x14:cfRule>
          <x14:cfRule type="containsText" priority="8530" operator="containsText" id="{62D3787C-DAA0-4D21-91CF-CE9FCEC62C4B}">
            <xm:f>NOT(ISERROR(SEARCH(Einstellungen!$A$5,G26)))</xm:f>
            <xm:f>Einstellungen!$A$5</xm:f>
            <x14:dxf>
              <font>
                <color theme="1"/>
              </font>
              <fill>
                <patternFill>
                  <bgColor theme="0" tint="-0.24994659260841701"/>
                </patternFill>
              </fill>
            </x14:dxf>
          </x14:cfRule>
          <x14:cfRule type="containsText" priority="8531" operator="containsText" id="{62F8D0AE-D0BD-4E8F-BFB9-6D9EB477BAA3}">
            <xm:f>NOT(ISERROR(SEARCH(Einstellungen!$A$4,G26)))</xm:f>
            <xm:f>Einstellungen!$A$4</xm:f>
            <x14:dxf>
              <font>
                <color theme="1"/>
              </font>
              <fill>
                <patternFill>
                  <bgColor theme="0" tint="-0.24994659260841701"/>
                </patternFill>
              </fill>
            </x14:dxf>
          </x14:cfRule>
          <x14:cfRule type="containsText" priority="8532" operator="containsText" id="{00AE7442-B961-4627-9779-2A2349C9701D}">
            <xm:f>NOT(ISERROR(SEARCH(Einstellungen!$A$3,G26)))</xm:f>
            <xm:f>Einstellungen!$A$3</xm:f>
            <x14:dxf>
              <font>
                <color theme="0"/>
              </font>
              <fill>
                <patternFill>
                  <bgColor rgb="FF002060"/>
                </patternFill>
              </fill>
            </x14:dxf>
          </x14:cfRule>
          <x14:cfRule type="containsText" priority="8533" operator="containsText" id="{D725E56D-C1A7-4148-8C9E-A89949495AE3}">
            <xm:f>NOT(ISERROR(SEARCH(Einstellungen!$A$2,G26)))</xm:f>
            <xm:f>Einstellungen!$A$2</xm:f>
            <x14:dxf>
              <font>
                <color theme="0"/>
              </font>
              <fill>
                <patternFill>
                  <bgColor rgb="FF0070C0"/>
                </patternFill>
              </fill>
            </x14:dxf>
          </x14:cfRule>
          <x14:cfRule type="containsText" priority="8534" operator="containsText" id="{DBE4D5B9-3E85-4F24-8623-8C3E82F2D556}">
            <xm:f>NOT(ISERROR(SEARCH(Einstellungen!$A$1,G26)))</xm:f>
            <xm:f>Einstellungen!$A$1</xm:f>
            <x14:dxf>
              <font>
                <color theme="0"/>
              </font>
              <fill>
                <patternFill>
                  <bgColor rgb="FF00B050"/>
                </patternFill>
              </fill>
            </x14:dxf>
          </x14:cfRule>
          <xm:sqref>G26:NG27</xm:sqref>
        </x14:conditionalFormatting>
        <x14:conditionalFormatting xmlns:xm="http://schemas.microsoft.com/office/excel/2006/main">
          <x14:cfRule type="expression" priority="8535" id="{49144394-C3CC-4D7B-9D0D-8DBA35119978}">
            <xm:f>IF(VLOOKUP(G$4,Einstellungen!$E$2:$E$15,1,FALSE)=G$4,TRUE,FALSE)</xm:f>
            <x14:dxf>
              <fill>
                <patternFill>
                  <bgColor rgb="FFFFE593"/>
                </patternFill>
              </fill>
            </x14:dxf>
          </x14:cfRule>
          <x14:cfRule type="expression" priority="8536" id="{5F25E20B-483F-4561-8B02-8A5B6F749E32}">
            <xm:f>IF(VLOOKUP(G$7,Einstellungen!$E$2:$E$15,1,FALSE)=G$7,TRUE,FALSE)</xm:f>
            <x14:dxf>
              <fill>
                <patternFill>
                  <bgColor rgb="FFFFE593"/>
                </patternFill>
              </fill>
            </x14:dxf>
          </x14:cfRule>
          <xm:sqref>G26:NG27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Einstellungen!$G$2:$G$15</xm:f>
          </x14:formula1>
          <xm:sqref>C6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b_P_Anlegen"/>
  <dimension ref="B1:F17"/>
  <sheetViews>
    <sheetView showGridLines="0" workbookViewId="0">
      <selection activeCell="G15" sqref="G15"/>
    </sheetView>
  </sheetViews>
  <sheetFormatPr baseColWidth="10" defaultRowHeight="15.75" x14ac:dyDescent="0.2"/>
  <cols>
    <col min="1" max="1" width="36.77734375" customWidth="1"/>
    <col min="2" max="2" width="15.44140625" style="16" bestFit="1" customWidth="1"/>
    <col min="3" max="3" width="2.33203125" customWidth="1"/>
    <col min="4" max="4" width="16.77734375" style="4" customWidth="1"/>
    <col min="5" max="5" width="2.33203125" customWidth="1"/>
    <col min="6" max="6" width="11.5546875" style="14"/>
  </cols>
  <sheetData>
    <row r="1" spans="2:6" ht="106.5" customHeight="1" x14ac:dyDescent="0.2"/>
    <row r="3" spans="2:6" ht="30" hidden="1" customHeight="1" x14ac:dyDescent="0.2">
      <c r="B3" s="15" t="s">
        <v>417</v>
      </c>
      <c r="D3" s="13">
        <f>MAX(Tabelle1[ID]) +1</f>
        <v>52</v>
      </c>
    </row>
    <row r="4" spans="2:6" hidden="1" x14ac:dyDescent="0.2">
      <c r="B4" s="15"/>
    </row>
    <row r="5" spans="2:6" ht="30" customHeight="1" x14ac:dyDescent="0.2">
      <c r="B5" s="15" t="s">
        <v>418</v>
      </c>
      <c r="D5" s="35" t="s">
        <v>431</v>
      </c>
    </row>
    <row r="6" spans="2:6" x14ac:dyDescent="0.2">
      <c r="B6" s="15"/>
    </row>
    <row r="7" spans="2:6" ht="30" customHeight="1" x14ac:dyDescent="0.2">
      <c r="B7" s="15" t="s">
        <v>36</v>
      </c>
      <c r="D7" s="35" t="s">
        <v>478</v>
      </c>
    </row>
    <row r="8" spans="2:6" x14ac:dyDescent="0.2">
      <c r="B8" s="15"/>
    </row>
    <row r="9" spans="2:6" ht="30" customHeight="1" x14ac:dyDescent="0.2">
      <c r="B9" s="15" t="s">
        <v>37</v>
      </c>
      <c r="D9" s="35" t="s">
        <v>479</v>
      </c>
    </row>
    <row r="10" spans="2:6" x14ac:dyDescent="0.2">
      <c r="B10" s="15"/>
    </row>
    <row r="11" spans="2:6" ht="30" customHeight="1" x14ac:dyDescent="0.2">
      <c r="B11" s="66" t="str">
        <f>"Urlaub "&amp;Datenbank!$C$6</f>
        <v>Urlaub 2027</v>
      </c>
      <c r="D11" s="67"/>
      <c r="F11" s="65" t="str">
        <f>"inkl. Resturlaub "&amp;Datenbank!$C$6-1</f>
        <v>inkl. Resturlaub 2026</v>
      </c>
    </row>
    <row r="12" spans="2:6" x14ac:dyDescent="0.2">
      <c r="B12" s="15"/>
    </row>
    <row r="13" spans="2:6" ht="30" customHeight="1" x14ac:dyDescent="0.2">
      <c r="B13" s="15" t="s">
        <v>419</v>
      </c>
      <c r="D13" s="35">
        <v>100</v>
      </c>
    </row>
    <row r="14" spans="2:6" x14ac:dyDescent="0.2">
      <c r="B14" s="15"/>
    </row>
    <row r="15" spans="2:6" ht="30" customHeight="1" x14ac:dyDescent="0.2">
      <c r="B15" s="15" t="s">
        <v>39</v>
      </c>
      <c r="D15" s="35" t="s">
        <v>421</v>
      </c>
    </row>
    <row r="16" spans="2:6" x14ac:dyDescent="0.2">
      <c r="B16" s="15"/>
    </row>
    <row r="17" spans="2:2" x14ac:dyDescent="0.2">
      <c r="B17" s="15"/>
    </row>
  </sheetData>
  <sheetProtection sheet="1" objects="1" scenarios="1" selectLockedCells="1"/>
  <conditionalFormatting sqref="D3 D5 D7 D9 D13 D15">
    <cfRule type="cellIs" dxfId="375" priority="1" operator="notEqual">
      <formula>""</formula>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Einstellungen!$J$1:$J$4</xm:f>
          </x14:formula1>
          <xm:sqref>D15</xm:sqref>
        </x14:dataValidation>
        <x14:dataValidation type="list" allowBlank="1" showInputMessage="1" showErrorMessage="1" xr:uid="{00000000-0002-0000-0200-000001000000}">
          <x14:formula1>
            <xm:f>Einstellungen!$J$6:$J$7</xm:f>
          </x14:formula1>
          <xm:sqref>D13</xm:sqref>
        </x14:dataValidation>
        <x14:dataValidation type="list" allowBlank="1" showInputMessage="1" showErrorMessage="1" xr:uid="{00000000-0002-0000-0200-000002000000}">
          <x14:formula1>
            <xm:f>Einstellungen!$L$1:$L$20</xm:f>
          </x14:formula1>
          <xm:sqref>D5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b_P_Bearbeiten"/>
  <dimension ref="B1:F17"/>
  <sheetViews>
    <sheetView showGridLines="0" zoomScaleNormal="100" workbookViewId="0">
      <selection activeCell="D13" sqref="D13"/>
    </sheetView>
  </sheetViews>
  <sheetFormatPr baseColWidth="10" defaultRowHeight="15.75" x14ac:dyDescent="0.2"/>
  <cols>
    <col min="1" max="1" width="36.77734375" customWidth="1"/>
    <col min="2" max="2" width="15.44140625" style="16" bestFit="1" customWidth="1"/>
    <col min="3" max="3" width="2.33203125" customWidth="1"/>
    <col min="4" max="4" width="16.77734375" style="4" customWidth="1"/>
    <col min="5" max="5" width="2.33203125" customWidth="1"/>
    <col min="6" max="6" width="11.5546875" style="14"/>
  </cols>
  <sheetData>
    <row r="1" spans="2:6" ht="106.5" customHeight="1" x14ac:dyDescent="0.2"/>
    <row r="3" spans="2:6" ht="30" hidden="1" customHeight="1" x14ac:dyDescent="0.2">
      <c r="B3" s="15" t="s">
        <v>417</v>
      </c>
      <c r="D3" s="13">
        <v>61</v>
      </c>
    </row>
    <row r="4" spans="2:6" hidden="1" x14ac:dyDescent="0.2">
      <c r="B4" s="15"/>
    </row>
    <row r="5" spans="2:6" ht="30" customHeight="1" x14ac:dyDescent="0.2">
      <c r="B5" s="15" t="s">
        <v>418</v>
      </c>
      <c r="D5" s="35"/>
    </row>
    <row r="6" spans="2:6" x14ac:dyDescent="0.2">
      <c r="B6" s="15"/>
    </row>
    <row r="7" spans="2:6" ht="30" customHeight="1" x14ac:dyDescent="0.2">
      <c r="B7" s="15" t="s">
        <v>36</v>
      </c>
      <c r="D7" s="35"/>
    </row>
    <row r="8" spans="2:6" x14ac:dyDescent="0.2">
      <c r="B8" s="15"/>
    </row>
    <row r="9" spans="2:6" ht="30" customHeight="1" x14ac:dyDescent="0.2">
      <c r="B9" s="15" t="s">
        <v>37</v>
      </c>
      <c r="D9" s="35"/>
    </row>
    <row r="10" spans="2:6" x14ac:dyDescent="0.2">
      <c r="B10" s="15"/>
    </row>
    <row r="11" spans="2:6" ht="30" customHeight="1" x14ac:dyDescent="0.2">
      <c r="B11" s="64" t="str">
        <f>"Urlaub "&amp;Datenbank!$C$6</f>
        <v>Urlaub 2027</v>
      </c>
      <c r="C11" s="44"/>
      <c r="D11" s="67">
        <v>45</v>
      </c>
      <c r="E11" s="44"/>
      <c r="F11" s="63" t="str">
        <f>"inkl. Resturlaub "&amp;Datenbank!$C$6-1</f>
        <v>inkl. Resturlaub 2026</v>
      </c>
    </row>
    <row r="12" spans="2:6" x14ac:dyDescent="0.2">
      <c r="B12" s="15"/>
    </row>
    <row r="13" spans="2:6" ht="30" customHeight="1" x14ac:dyDescent="0.2">
      <c r="B13" s="15" t="s">
        <v>419</v>
      </c>
      <c r="D13" s="35"/>
    </row>
    <row r="14" spans="2:6" x14ac:dyDescent="0.2">
      <c r="B14" s="15"/>
    </row>
    <row r="15" spans="2:6" ht="30" customHeight="1" x14ac:dyDescent="0.2">
      <c r="B15" s="15" t="s">
        <v>39</v>
      </c>
      <c r="D15" s="35"/>
    </row>
    <row r="16" spans="2:6" x14ac:dyDescent="0.2">
      <c r="B16" s="15"/>
    </row>
    <row r="17" spans="2:2" x14ac:dyDescent="0.2">
      <c r="B17" s="15"/>
    </row>
  </sheetData>
  <sheetProtection selectLockedCells="1"/>
  <conditionalFormatting sqref="D3 D5 D7 D9 D13 D15">
    <cfRule type="cellIs" dxfId="374" priority="1" operator="notEqual">
      <formula>""</formula>
    </cfRule>
  </conditionalFormatting>
  <pageMargins left="0.7" right="0.7" top="0.78740157499999996" bottom="0.78740157499999996" header="0.3" footer="0.3"/>
  <pageSetup paperSize="9" scale="22" orientation="portrait" r:id="rId1"/>
  <colBreaks count="1" manualBreakCount="1">
    <brk id="27" max="48"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Einstellungen!$L$1:$L$20</xm:f>
          </x14:formula1>
          <xm:sqref>D5</xm:sqref>
        </x14:dataValidation>
        <x14:dataValidation type="list" allowBlank="1" showInputMessage="1" showErrorMessage="1" xr:uid="{00000000-0002-0000-0300-000001000000}">
          <x14:formula1>
            <xm:f>Einstellungen!$J$6:$J$7</xm:f>
          </x14:formula1>
          <xm:sqref>D13</xm:sqref>
        </x14:dataValidation>
        <x14:dataValidation type="list" allowBlank="1" showInputMessage="1" showErrorMessage="1" xr:uid="{00000000-0002-0000-0300-000002000000}">
          <x14:formula1>
            <xm:f>Einstellungen!$J$1:$J$4</xm:f>
          </x14:formula1>
          <xm:sqref>D15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Einstellungen</vt:lpstr>
      <vt:lpstr>Datenbank</vt:lpstr>
      <vt:lpstr>P_Anlegen</vt:lpstr>
      <vt:lpstr>P_Bearbeiten</vt:lpstr>
      <vt:lpstr>P_Bearbeiten!Druckbereich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Köhn</dc:creator>
  <cp:lastModifiedBy>Tim Köhn</cp:lastModifiedBy>
  <cp:lastPrinted>2023-12-20T12:08:14Z</cp:lastPrinted>
  <dcterms:created xsi:type="dcterms:W3CDTF">2022-10-08T17:29:03Z</dcterms:created>
  <dcterms:modified xsi:type="dcterms:W3CDTF">2026-09-03T10:25:47Z</dcterms:modified>
</cp:coreProperties>
</file>